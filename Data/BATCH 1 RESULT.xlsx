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d.docs.live.net/1cf5279a4e116f00/"/>
    </mc:Choice>
  </mc:AlternateContent>
  <xr:revisionPtr revIDLastSave="0" documentId="8_{C0EC4F52-4E73-4C5F-AF30-37032D4C9B28}" xr6:coauthVersionLast="47" xr6:coauthVersionMax="47" xr10:uidLastSave="{00000000-0000-0000-0000-000000000000}"/>
  <bookViews>
    <workbookView xWindow="-108" yWindow="-108" windowWidth="23256" windowHeight="12456" xr2:uid="{E4CA2F88-E923-4D94-9553-BBBFBC78D64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 l="1"/>
  <c r="N3" i="1"/>
  <c r="N2" i="1"/>
  <c r="J327" i="1"/>
  <c r="K327" i="1"/>
  <c r="I327" i="1"/>
  <c r="I3" i="1"/>
  <c r="J3" i="1"/>
  <c r="K3" i="1"/>
  <c r="I4" i="1"/>
  <c r="J4" i="1"/>
  <c r="K4" i="1"/>
  <c r="I5" i="1"/>
  <c r="J5" i="1"/>
  <c r="K5" i="1"/>
  <c r="I6" i="1"/>
  <c r="J6" i="1"/>
  <c r="K6" i="1"/>
  <c r="I7" i="1"/>
  <c r="J7" i="1"/>
  <c r="K7" i="1"/>
  <c r="I8" i="1"/>
  <c r="J8" i="1"/>
  <c r="K8" i="1"/>
  <c r="I9" i="1"/>
  <c r="J9" i="1"/>
  <c r="K9" i="1"/>
  <c r="I10" i="1"/>
  <c r="J10" i="1"/>
  <c r="K10" i="1"/>
  <c r="I11" i="1"/>
  <c r="J11" i="1"/>
  <c r="K11" i="1"/>
  <c r="I12" i="1"/>
  <c r="J12" i="1"/>
  <c r="K12" i="1"/>
  <c r="I13" i="1"/>
  <c r="J13" i="1"/>
  <c r="K13" i="1"/>
  <c r="I14" i="1"/>
  <c r="J14" i="1"/>
  <c r="K14" i="1"/>
  <c r="I15" i="1"/>
  <c r="J15" i="1"/>
  <c r="K15" i="1"/>
  <c r="I16" i="1"/>
  <c r="J16" i="1"/>
  <c r="K16" i="1"/>
  <c r="I17" i="1"/>
  <c r="J17" i="1"/>
  <c r="K17" i="1"/>
  <c r="I18" i="1"/>
  <c r="J18" i="1"/>
  <c r="K18" i="1"/>
  <c r="I19" i="1"/>
  <c r="J19" i="1"/>
  <c r="K19" i="1"/>
  <c r="I20" i="1"/>
  <c r="J20" i="1"/>
  <c r="K20" i="1"/>
  <c r="I21" i="1"/>
  <c r="J21" i="1"/>
  <c r="K21" i="1"/>
  <c r="I22" i="1"/>
  <c r="J22" i="1"/>
  <c r="K22" i="1"/>
  <c r="I23" i="1"/>
  <c r="J23" i="1"/>
  <c r="K23" i="1"/>
  <c r="I24" i="1"/>
  <c r="J24" i="1"/>
  <c r="K24" i="1"/>
  <c r="I25" i="1"/>
  <c r="J25" i="1"/>
  <c r="K25" i="1"/>
  <c r="I26" i="1"/>
  <c r="J26" i="1"/>
  <c r="K26" i="1"/>
  <c r="I27" i="1"/>
  <c r="J27" i="1"/>
  <c r="K27" i="1"/>
  <c r="I28" i="1"/>
  <c r="J28" i="1"/>
  <c r="K28" i="1"/>
  <c r="I29" i="1"/>
  <c r="J29" i="1"/>
  <c r="K29" i="1"/>
  <c r="I30" i="1"/>
  <c r="J30" i="1"/>
  <c r="K30" i="1"/>
  <c r="I31" i="1"/>
  <c r="J31" i="1"/>
  <c r="K31" i="1"/>
  <c r="I32" i="1"/>
  <c r="J32" i="1"/>
  <c r="K32" i="1"/>
  <c r="I33" i="1"/>
  <c r="J33" i="1"/>
  <c r="K33" i="1"/>
  <c r="I34" i="1"/>
  <c r="J34" i="1"/>
  <c r="K34" i="1"/>
  <c r="I35" i="1"/>
  <c r="J35" i="1"/>
  <c r="K35" i="1"/>
  <c r="I36" i="1"/>
  <c r="J36" i="1"/>
  <c r="K36" i="1"/>
  <c r="I37" i="1"/>
  <c r="J37" i="1"/>
  <c r="K37" i="1"/>
  <c r="I38" i="1"/>
  <c r="J38" i="1"/>
  <c r="K38" i="1"/>
  <c r="I39" i="1"/>
  <c r="J39" i="1"/>
  <c r="K39" i="1"/>
  <c r="I40" i="1"/>
  <c r="J40" i="1"/>
  <c r="K40" i="1"/>
  <c r="I41" i="1"/>
  <c r="J41" i="1"/>
  <c r="K41" i="1"/>
  <c r="I42" i="1"/>
  <c r="J42" i="1"/>
  <c r="K42" i="1"/>
  <c r="I43" i="1"/>
  <c r="J43" i="1"/>
  <c r="K43" i="1"/>
  <c r="I44" i="1"/>
  <c r="J44" i="1"/>
  <c r="K44" i="1"/>
  <c r="I45" i="1"/>
  <c r="J45" i="1"/>
  <c r="K45" i="1"/>
  <c r="I46" i="1"/>
  <c r="J46" i="1"/>
  <c r="K46" i="1"/>
  <c r="I47" i="1"/>
  <c r="J47" i="1"/>
  <c r="K47" i="1"/>
  <c r="I48" i="1"/>
  <c r="J48" i="1"/>
  <c r="K48" i="1"/>
  <c r="I49" i="1"/>
  <c r="J49" i="1"/>
  <c r="K49" i="1"/>
  <c r="I50" i="1"/>
  <c r="J50" i="1"/>
  <c r="K50" i="1"/>
  <c r="I51" i="1"/>
  <c r="J51" i="1"/>
  <c r="K51" i="1"/>
  <c r="I52" i="1"/>
  <c r="J52" i="1"/>
  <c r="K52" i="1"/>
  <c r="I53" i="1"/>
  <c r="J53" i="1"/>
  <c r="K53" i="1"/>
  <c r="I54" i="1"/>
  <c r="J54" i="1"/>
  <c r="K54" i="1"/>
  <c r="I55" i="1"/>
  <c r="J55" i="1"/>
  <c r="K55" i="1"/>
  <c r="I56" i="1"/>
  <c r="J56" i="1"/>
  <c r="K56" i="1"/>
  <c r="I57" i="1"/>
  <c r="J57" i="1"/>
  <c r="K57" i="1"/>
  <c r="I58" i="1"/>
  <c r="J58" i="1"/>
  <c r="K58" i="1"/>
  <c r="I59" i="1"/>
  <c r="J59" i="1"/>
  <c r="K59" i="1"/>
  <c r="I60" i="1"/>
  <c r="J60" i="1"/>
  <c r="K60" i="1"/>
  <c r="I61" i="1"/>
  <c r="J61" i="1"/>
  <c r="K61" i="1"/>
  <c r="I62" i="1"/>
  <c r="J62" i="1"/>
  <c r="K62" i="1"/>
  <c r="I63" i="1"/>
  <c r="J63" i="1"/>
  <c r="K63" i="1"/>
  <c r="I64" i="1"/>
  <c r="J64" i="1"/>
  <c r="K64" i="1"/>
  <c r="I65" i="1"/>
  <c r="J65" i="1"/>
  <c r="K65" i="1"/>
  <c r="I66" i="1"/>
  <c r="J66" i="1"/>
  <c r="K66" i="1"/>
  <c r="I67" i="1"/>
  <c r="J67" i="1"/>
  <c r="K67" i="1"/>
  <c r="I68" i="1"/>
  <c r="J68" i="1"/>
  <c r="K68" i="1"/>
  <c r="I69" i="1"/>
  <c r="J69" i="1"/>
  <c r="K69" i="1"/>
  <c r="I70" i="1"/>
  <c r="J70" i="1"/>
  <c r="K70" i="1"/>
  <c r="I71" i="1"/>
  <c r="J71" i="1"/>
  <c r="K71" i="1"/>
  <c r="I72" i="1"/>
  <c r="J72" i="1"/>
  <c r="K72" i="1"/>
  <c r="I73" i="1"/>
  <c r="J73" i="1"/>
  <c r="K73" i="1"/>
  <c r="I74" i="1"/>
  <c r="J74" i="1"/>
  <c r="K74" i="1"/>
  <c r="I75" i="1"/>
  <c r="J75" i="1"/>
  <c r="K75" i="1"/>
  <c r="I76" i="1"/>
  <c r="J76" i="1"/>
  <c r="K76" i="1"/>
  <c r="I77" i="1"/>
  <c r="J77" i="1"/>
  <c r="K77" i="1"/>
  <c r="I78" i="1"/>
  <c r="J78" i="1"/>
  <c r="K78" i="1"/>
  <c r="I79" i="1"/>
  <c r="J79" i="1"/>
  <c r="K79" i="1"/>
  <c r="I80" i="1"/>
  <c r="J80" i="1"/>
  <c r="K80" i="1"/>
  <c r="I81" i="1"/>
  <c r="J81" i="1"/>
  <c r="K81" i="1"/>
  <c r="I82" i="1"/>
  <c r="J82" i="1"/>
  <c r="K82" i="1"/>
  <c r="I83" i="1"/>
  <c r="J83" i="1"/>
  <c r="K83" i="1"/>
  <c r="I84" i="1"/>
  <c r="J84" i="1"/>
  <c r="K84" i="1"/>
  <c r="I85" i="1"/>
  <c r="J85" i="1"/>
  <c r="K85" i="1"/>
  <c r="I86" i="1"/>
  <c r="J86" i="1"/>
  <c r="K86" i="1"/>
  <c r="I87" i="1"/>
  <c r="J87" i="1"/>
  <c r="K87" i="1"/>
  <c r="I88" i="1"/>
  <c r="J88" i="1"/>
  <c r="K88" i="1"/>
  <c r="I89" i="1"/>
  <c r="J89" i="1"/>
  <c r="K89" i="1"/>
  <c r="I90" i="1"/>
  <c r="J90" i="1"/>
  <c r="K90" i="1"/>
  <c r="I91" i="1"/>
  <c r="J91" i="1"/>
  <c r="K91" i="1"/>
  <c r="I92" i="1"/>
  <c r="J92" i="1"/>
  <c r="K92" i="1"/>
  <c r="I93" i="1"/>
  <c r="J93" i="1"/>
  <c r="K93" i="1"/>
  <c r="I94" i="1"/>
  <c r="J94" i="1"/>
  <c r="K94" i="1"/>
  <c r="I95" i="1"/>
  <c r="J95" i="1"/>
  <c r="K95" i="1"/>
  <c r="I96" i="1"/>
  <c r="J96" i="1"/>
  <c r="K96" i="1"/>
  <c r="I97" i="1"/>
  <c r="J97" i="1"/>
  <c r="K97" i="1"/>
  <c r="I98" i="1"/>
  <c r="J98" i="1"/>
  <c r="K98" i="1"/>
  <c r="I99" i="1"/>
  <c r="J99" i="1"/>
  <c r="K99" i="1"/>
  <c r="I100" i="1"/>
  <c r="J100" i="1"/>
  <c r="K100" i="1"/>
  <c r="I101" i="1"/>
  <c r="J101" i="1"/>
  <c r="K101" i="1"/>
  <c r="I102" i="1"/>
  <c r="J102" i="1"/>
  <c r="K102" i="1"/>
  <c r="I103" i="1"/>
  <c r="J103" i="1"/>
  <c r="K103" i="1"/>
  <c r="I104" i="1"/>
  <c r="J104" i="1"/>
  <c r="K104" i="1"/>
  <c r="I105" i="1"/>
  <c r="J105" i="1"/>
  <c r="K105" i="1"/>
  <c r="I106" i="1"/>
  <c r="J106" i="1"/>
  <c r="K106" i="1"/>
  <c r="I107" i="1"/>
  <c r="J107" i="1"/>
  <c r="K107" i="1"/>
  <c r="I108" i="1"/>
  <c r="J108" i="1"/>
  <c r="K108" i="1"/>
  <c r="I109" i="1"/>
  <c r="J109" i="1"/>
  <c r="K109" i="1"/>
  <c r="I110" i="1"/>
  <c r="J110" i="1"/>
  <c r="K110" i="1"/>
  <c r="I111" i="1"/>
  <c r="J111" i="1"/>
  <c r="K111" i="1"/>
  <c r="I112" i="1"/>
  <c r="J112" i="1"/>
  <c r="K112" i="1"/>
  <c r="I113" i="1"/>
  <c r="J113" i="1"/>
  <c r="K113" i="1"/>
  <c r="I114" i="1"/>
  <c r="J114" i="1"/>
  <c r="K114" i="1"/>
  <c r="I115" i="1"/>
  <c r="J115" i="1"/>
  <c r="K115" i="1"/>
  <c r="I116" i="1"/>
  <c r="J116" i="1"/>
  <c r="K116" i="1"/>
  <c r="I117" i="1"/>
  <c r="J117" i="1"/>
  <c r="K117" i="1"/>
  <c r="I118" i="1"/>
  <c r="J118" i="1"/>
  <c r="K118" i="1"/>
  <c r="I119" i="1"/>
  <c r="J119" i="1"/>
  <c r="K119" i="1"/>
  <c r="I120" i="1"/>
  <c r="J120" i="1"/>
  <c r="K120" i="1"/>
  <c r="I121" i="1"/>
  <c r="J121" i="1"/>
  <c r="K121" i="1"/>
  <c r="I122" i="1"/>
  <c r="J122" i="1"/>
  <c r="K122" i="1"/>
  <c r="I123" i="1"/>
  <c r="J123" i="1"/>
  <c r="K123" i="1"/>
  <c r="I124" i="1"/>
  <c r="J124" i="1"/>
  <c r="K124" i="1"/>
  <c r="I125" i="1"/>
  <c r="J125" i="1"/>
  <c r="K125" i="1"/>
  <c r="I126" i="1"/>
  <c r="J126" i="1"/>
  <c r="K126" i="1"/>
  <c r="I127" i="1"/>
  <c r="J127" i="1"/>
  <c r="K127" i="1"/>
  <c r="I128" i="1"/>
  <c r="J128" i="1"/>
  <c r="K128" i="1"/>
  <c r="I129" i="1"/>
  <c r="J129" i="1"/>
  <c r="K129" i="1"/>
  <c r="I130" i="1"/>
  <c r="J130" i="1"/>
  <c r="K130" i="1"/>
  <c r="I131" i="1"/>
  <c r="J131" i="1"/>
  <c r="K131" i="1"/>
  <c r="I132" i="1"/>
  <c r="J132" i="1"/>
  <c r="K132" i="1"/>
  <c r="I133" i="1"/>
  <c r="J133" i="1"/>
  <c r="K133" i="1"/>
  <c r="I134" i="1"/>
  <c r="J134" i="1"/>
  <c r="K134" i="1"/>
  <c r="I135" i="1"/>
  <c r="J135" i="1"/>
  <c r="K135" i="1"/>
  <c r="I136" i="1"/>
  <c r="J136" i="1"/>
  <c r="K136" i="1"/>
  <c r="I137" i="1"/>
  <c r="J137" i="1"/>
  <c r="K137" i="1"/>
  <c r="I138" i="1"/>
  <c r="J138" i="1"/>
  <c r="K138" i="1"/>
  <c r="I139" i="1"/>
  <c r="J139" i="1"/>
  <c r="K139" i="1"/>
  <c r="I140" i="1"/>
  <c r="J140" i="1"/>
  <c r="K140" i="1"/>
  <c r="I141" i="1"/>
  <c r="J141" i="1"/>
  <c r="K141" i="1"/>
  <c r="I142" i="1"/>
  <c r="J142" i="1"/>
  <c r="K142" i="1"/>
  <c r="I143" i="1"/>
  <c r="J143" i="1"/>
  <c r="K143" i="1"/>
  <c r="I144" i="1"/>
  <c r="J144" i="1"/>
  <c r="K144" i="1"/>
  <c r="I145" i="1"/>
  <c r="J145" i="1"/>
  <c r="K145" i="1"/>
  <c r="I146" i="1"/>
  <c r="J146" i="1"/>
  <c r="K146" i="1"/>
  <c r="I147" i="1"/>
  <c r="J147" i="1"/>
  <c r="K147" i="1"/>
  <c r="I148" i="1"/>
  <c r="J148" i="1"/>
  <c r="K148" i="1"/>
  <c r="I149" i="1"/>
  <c r="J149" i="1"/>
  <c r="K149" i="1"/>
  <c r="I150" i="1"/>
  <c r="J150" i="1"/>
  <c r="K150" i="1"/>
  <c r="I151" i="1"/>
  <c r="J151" i="1"/>
  <c r="K151" i="1"/>
  <c r="I152" i="1"/>
  <c r="J152" i="1"/>
  <c r="K152" i="1"/>
  <c r="I153" i="1"/>
  <c r="J153" i="1"/>
  <c r="K153" i="1"/>
  <c r="I154" i="1"/>
  <c r="J154" i="1"/>
  <c r="K154" i="1"/>
  <c r="I155" i="1"/>
  <c r="J155" i="1"/>
  <c r="K155" i="1"/>
  <c r="I156" i="1"/>
  <c r="J156" i="1"/>
  <c r="K156" i="1"/>
  <c r="I157" i="1"/>
  <c r="J157" i="1"/>
  <c r="K157" i="1"/>
  <c r="I158" i="1"/>
  <c r="J158" i="1"/>
  <c r="K158" i="1"/>
  <c r="I159" i="1"/>
  <c r="J159" i="1"/>
  <c r="K159" i="1"/>
  <c r="I160" i="1"/>
  <c r="J160" i="1"/>
  <c r="K160" i="1"/>
  <c r="I161" i="1"/>
  <c r="J161" i="1"/>
  <c r="K161" i="1"/>
  <c r="I162" i="1"/>
  <c r="J162" i="1"/>
  <c r="K162" i="1"/>
  <c r="I163" i="1"/>
  <c r="J163" i="1"/>
  <c r="K163" i="1"/>
  <c r="I164" i="1"/>
  <c r="J164" i="1"/>
  <c r="K164" i="1"/>
  <c r="I165" i="1"/>
  <c r="J165" i="1"/>
  <c r="K165" i="1"/>
  <c r="I166" i="1"/>
  <c r="J166" i="1"/>
  <c r="K166" i="1"/>
  <c r="I167" i="1"/>
  <c r="J167" i="1"/>
  <c r="K167" i="1"/>
  <c r="I168" i="1"/>
  <c r="J168" i="1"/>
  <c r="K168" i="1"/>
  <c r="I169" i="1"/>
  <c r="J169" i="1"/>
  <c r="K169" i="1"/>
  <c r="I170" i="1"/>
  <c r="J170" i="1"/>
  <c r="K170" i="1"/>
  <c r="I171" i="1"/>
  <c r="J171" i="1"/>
  <c r="K171" i="1"/>
  <c r="I172" i="1"/>
  <c r="J172" i="1"/>
  <c r="K172" i="1"/>
  <c r="I173" i="1"/>
  <c r="J173" i="1"/>
  <c r="K173" i="1"/>
  <c r="I174" i="1"/>
  <c r="J174" i="1"/>
  <c r="K174" i="1"/>
  <c r="I175" i="1"/>
  <c r="J175" i="1"/>
  <c r="K175" i="1"/>
  <c r="I176" i="1"/>
  <c r="J176" i="1"/>
  <c r="K176" i="1"/>
  <c r="I177" i="1"/>
  <c r="J177" i="1"/>
  <c r="K177" i="1"/>
  <c r="I178" i="1"/>
  <c r="J178" i="1"/>
  <c r="K178" i="1"/>
  <c r="I179" i="1"/>
  <c r="J179" i="1"/>
  <c r="K179" i="1"/>
  <c r="I180" i="1"/>
  <c r="J180" i="1"/>
  <c r="K180" i="1"/>
  <c r="I181" i="1"/>
  <c r="J181" i="1"/>
  <c r="K181" i="1"/>
  <c r="I182" i="1"/>
  <c r="J182" i="1"/>
  <c r="K182" i="1"/>
  <c r="I183" i="1"/>
  <c r="J183" i="1"/>
  <c r="K183" i="1"/>
  <c r="I184" i="1"/>
  <c r="J184" i="1"/>
  <c r="K184" i="1"/>
  <c r="I185" i="1"/>
  <c r="J185" i="1"/>
  <c r="K185" i="1"/>
  <c r="I186" i="1"/>
  <c r="J186" i="1"/>
  <c r="K186" i="1"/>
  <c r="I187" i="1"/>
  <c r="J187" i="1"/>
  <c r="K187" i="1"/>
  <c r="I188" i="1"/>
  <c r="J188" i="1"/>
  <c r="K188" i="1"/>
  <c r="I189" i="1"/>
  <c r="J189" i="1"/>
  <c r="K189" i="1"/>
  <c r="I190" i="1"/>
  <c r="J190" i="1"/>
  <c r="K190" i="1"/>
  <c r="I191" i="1"/>
  <c r="J191" i="1"/>
  <c r="K191" i="1"/>
  <c r="I192" i="1"/>
  <c r="J192" i="1"/>
  <c r="K192" i="1"/>
  <c r="I193" i="1"/>
  <c r="J193" i="1"/>
  <c r="K193" i="1"/>
  <c r="I194" i="1"/>
  <c r="J194" i="1"/>
  <c r="K194" i="1"/>
  <c r="I195" i="1"/>
  <c r="J195" i="1"/>
  <c r="K195" i="1"/>
  <c r="I196" i="1"/>
  <c r="J196" i="1"/>
  <c r="K196" i="1"/>
  <c r="I197" i="1"/>
  <c r="J197" i="1"/>
  <c r="K197" i="1"/>
  <c r="I198" i="1"/>
  <c r="J198" i="1"/>
  <c r="K198" i="1"/>
  <c r="I199" i="1"/>
  <c r="J199" i="1"/>
  <c r="K199" i="1"/>
  <c r="I200" i="1"/>
  <c r="J200" i="1"/>
  <c r="K200" i="1"/>
  <c r="I201" i="1"/>
  <c r="J201" i="1"/>
  <c r="K201" i="1"/>
  <c r="I202" i="1"/>
  <c r="J202" i="1"/>
  <c r="K202" i="1"/>
  <c r="I203" i="1"/>
  <c r="J203" i="1"/>
  <c r="K203" i="1"/>
  <c r="I204" i="1"/>
  <c r="J204" i="1"/>
  <c r="K204" i="1"/>
  <c r="I205" i="1"/>
  <c r="J205" i="1"/>
  <c r="K205" i="1"/>
  <c r="I206" i="1"/>
  <c r="J206" i="1"/>
  <c r="K206" i="1"/>
  <c r="I207" i="1"/>
  <c r="J207" i="1"/>
  <c r="K207" i="1"/>
  <c r="I208" i="1"/>
  <c r="J208" i="1"/>
  <c r="K208" i="1"/>
  <c r="I209" i="1"/>
  <c r="J209" i="1"/>
  <c r="K209" i="1"/>
  <c r="I210" i="1"/>
  <c r="J210" i="1"/>
  <c r="K210" i="1"/>
  <c r="I211" i="1"/>
  <c r="J211" i="1"/>
  <c r="K211" i="1"/>
  <c r="I212" i="1"/>
  <c r="J212" i="1"/>
  <c r="K212" i="1"/>
  <c r="I213" i="1"/>
  <c r="J213" i="1"/>
  <c r="K213" i="1"/>
  <c r="I214" i="1"/>
  <c r="J214" i="1"/>
  <c r="K214" i="1"/>
  <c r="I215" i="1"/>
  <c r="J215" i="1"/>
  <c r="K215" i="1"/>
  <c r="I216" i="1"/>
  <c r="J216" i="1"/>
  <c r="K216" i="1"/>
  <c r="I217" i="1"/>
  <c r="J217" i="1"/>
  <c r="K217" i="1"/>
  <c r="I218" i="1"/>
  <c r="J218" i="1"/>
  <c r="K218" i="1"/>
  <c r="I219" i="1"/>
  <c r="J219" i="1"/>
  <c r="K219" i="1"/>
  <c r="I220" i="1"/>
  <c r="J220" i="1"/>
  <c r="K220" i="1"/>
  <c r="I221" i="1"/>
  <c r="J221" i="1"/>
  <c r="K221" i="1"/>
  <c r="I222" i="1"/>
  <c r="J222" i="1"/>
  <c r="K222" i="1"/>
  <c r="I223" i="1"/>
  <c r="J223" i="1"/>
  <c r="K223" i="1"/>
  <c r="I224" i="1"/>
  <c r="J224" i="1"/>
  <c r="K224" i="1"/>
  <c r="I225" i="1"/>
  <c r="J225" i="1"/>
  <c r="K225" i="1"/>
  <c r="I226" i="1"/>
  <c r="J226" i="1"/>
  <c r="K226" i="1"/>
  <c r="I227" i="1"/>
  <c r="J227" i="1"/>
  <c r="K227" i="1"/>
  <c r="I228" i="1"/>
  <c r="J228" i="1"/>
  <c r="K228" i="1"/>
  <c r="I229" i="1"/>
  <c r="J229" i="1"/>
  <c r="K229" i="1"/>
  <c r="I230" i="1"/>
  <c r="J230" i="1"/>
  <c r="K230" i="1"/>
  <c r="I231" i="1"/>
  <c r="J231" i="1"/>
  <c r="K231" i="1"/>
  <c r="I232" i="1"/>
  <c r="J232" i="1"/>
  <c r="K232" i="1"/>
  <c r="I233" i="1"/>
  <c r="J233" i="1"/>
  <c r="K233" i="1"/>
  <c r="I234" i="1"/>
  <c r="J234" i="1"/>
  <c r="K234" i="1"/>
  <c r="I235" i="1"/>
  <c r="J235" i="1"/>
  <c r="K235" i="1"/>
  <c r="I236" i="1"/>
  <c r="J236" i="1"/>
  <c r="K236" i="1"/>
  <c r="I237" i="1"/>
  <c r="J237" i="1"/>
  <c r="K237" i="1"/>
  <c r="I238" i="1"/>
  <c r="J238" i="1"/>
  <c r="K238" i="1"/>
  <c r="I239" i="1"/>
  <c r="J239" i="1"/>
  <c r="K239" i="1"/>
  <c r="I240" i="1"/>
  <c r="J240" i="1"/>
  <c r="K240" i="1"/>
  <c r="I241" i="1"/>
  <c r="J241" i="1"/>
  <c r="K241" i="1"/>
  <c r="I242" i="1"/>
  <c r="J242" i="1"/>
  <c r="K242" i="1"/>
  <c r="I243" i="1"/>
  <c r="J243" i="1"/>
  <c r="K243" i="1"/>
  <c r="I244" i="1"/>
  <c r="J244" i="1"/>
  <c r="K244" i="1"/>
  <c r="I245" i="1"/>
  <c r="J245" i="1"/>
  <c r="K245" i="1"/>
  <c r="I246" i="1"/>
  <c r="J246" i="1"/>
  <c r="K246" i="1"/>
  <c r="I247" i="1"/>
  <c r="J247" i="1"/>
  <c r="K247" i="1"/>
  <c r="I248" i="1"/>
  <c r="J248" i="1"/>
  <c r="K248" i="1"/>
  <c r="I249" i="1"/>
  <c r="J249" i="1"/>
  <c r="K249" i="1"/>
  <c r="I250" i="1"/>
  <c r="J250" i="1"/>
  <c r="K250" i="1"/>
  <c r="I251" i="1"/>
  <c r="J251" i="1"/>
  <c r="K251" i="1"/>
  <c r="I252" i="1"/>
  <c r="J252" i="1"/>
  <c r="K252" i="1"/>
  <c r="I253" i="1"/>
  <c r="J253" i="1"/>
  <c r="K253" i="1"/>
  <c r="I254" i="1"/>
  <c r="J254" i="1"/>
  <c r="K254" i="1"/>
  <c r="I255" i="1"/>
  <c r="J255" i="1"/>
  <c r="K255" i="1"/>
  <c r="I256" i="1"/>
  <c r="J256" i="1"/>
  <c r="K256" i="1"/>
  <c r="I257" i="1"/>
  <c r="J257" i="1"/>
  <c r="K257" i="1"/>
  <c r="I258" i="1"/>
  <c r="J258" i="1"/>
  <c r="K258" i="1"/>
  <c r="I259" i="1"/>
  <c r="J259" i="1"/>
  <c r="K259" i="1"/>
  <c r="I260" i="1"/>
  <c r="J260" i="1"/>
  <c r="K260" i="1"/>
  <c r="I261" i="1"/>
  <c r="J261" i="1"/>
  <c r="K261" i="1"/>
  <c r="I262" i="1"/>
  <c r="J262" i="1"/>
  <c r="K262" i="1"/>
  <c r="I263" i="1"/>
  <c r="J263" i="1"/>
  <c r="K263" i="1"/>
  <c r="I264" i="1"/>
  <c r="J264" i="1"/>
  <c r="K264" i="1"/>
  <c r="I265" i="1"/>
  <c r="J265" i="1"/>
  <c r="K265" i="1"/>
  <c r="I266" i="1"/>
  <c r="J266" i="1"/>
  <c r="K266" i="1"/>
  <c r="I267" i="1"/>
  <c r="J267" i="1"/>
  <c r="K267" i="1"/>
  <c r="I268" i="1"/>
  <c r="J268" i="1"/>
  <c r="K268" i="1"/>
  <c r="I269" i="1"/>
  <c r="J269" i="1"/>
  <c r="K269" i="1"/>
  <c r="I270" i="1"/>
  <c r="J270" i="1"/>
  <c r="K270" i="1"/>
  <c r="I271" i="1"/>
  <c r="J271" i="1"/>
  <c r="K271" i="1"/>
  <c r="I272" i="1"/>
  <c r="J272" i="1"/>
  <c r="K272" i="1"/>
  <c r="I273" i="1"/>
  <c r="J273" i="1"/>
  <c r="K273" i="1"/>
  <c r="I274" i="1"/>
  <c r="J274" i="1"/>
  <c r="K274" i="1"/>
  <c r="I275" i="1"/>
  <c r="J275" i="1"/>
  <c r="K275" i="1"/>
  <c r="I276" i="1"/>
  <c r="J276" i="1"/>
  <c r="K276" i="1"/>
  <c r="I277" i="1"/>
  <c r="J277" i="1"/>
  <c r="K277" i="1"/>
  <c r="I278" i="1"/>
  <c r="J278" i="1"/>
  <c r="K278" i="1"/>
  <c r="I279" i="1"/>
  <c r="J279" i="1"/>
  <c r="K279" i="1"/>
  <c r="I280" i="1"/>
  <c r="J280" i="1"/>
  <c r="K280" i="1"/>
  <c r="I281" i="1"/>
  <c r="J281" i="1"/>
  <c r="K281" i="1"/>
  <c r="I282" i="1"/>
  <c r="J282" i="1"/>
  <c r="K282" i="1"/>
  <c r="I283" i="1"/>
  <c r="J283" i="1"/>
  <c r="K283" i="1"/>
  <c r="I284" i="1"/>
  <c r="J284" i="1"/>
  <c r="K284" i="1"/>
  <c r="I285" i="1"/>
  <c r="J285" i="1"/>
  <c r="K285" i="1"/>
  <c r="I286" i="1"/>
  <c r="J286" i="1"/>
  <c r="K286" i="1"/>
  <c r="I287" i="1"/>
  <c r="J287" i="1"/>
  <c r="K287" i="1"/>
  <c r="I288" i="1"/>
  <c r="J288" i="1"/>
  <c r="K288" i="1"/>
  <c r="I289" i="1"/>
  <c r="J289" i="1"/>
  <c r="K289" i="1"/>
  <c r="I290" i="1"/>
  <c r="J290" i="1"/>
  <c r="K290" i="1"/>
  <c r="I291" i="1"/>
  <c r="J291" i="1"/>
  <c r="K291" i="1"/>
  <c r="I292" i="1"/>
  <c r="J292" i="1"/>
  <c r="K292" i="1"/>
  <c r="I293" i="1"/>
  <c r="J293" i="1"/>
  <c r="K293" i="1"/>
  <c r="I294" i="1"/>
  <c r="J294" i="1"/>
  <c r="K294" i="1"/>
  <c r="I295" i="1"/>
  <c r="J295" i="1"/>
  <c r="K295" i="1"/>
  <c r="I296" i="1"/>
  <c r="J296" i="1"/>
  <c r="K296" i="1"/>
  <c r="I297" i="1"/>
  <c r="J297" i="1"/>
  <c r="K297" i="1"/>
  <c r="I298" i="1"/>
  <c r="J298" i="1"/>
  <c r="K298" i="1"/>
  <c r="I299" i="1"/>
  <c r="J299" i="1"/>
  <c r="K299" i="1"/>
  <c r="I300" i="1"/>
  <c r="J300" i="1"/>
  <c r="K300" i="1"/>
  <c r="I301" i="1"/>
  <c r="J301" i="1"/>
  <c r="K301" i="1"/>
  <c r="I302" i="1"/>
  <c r="J302" i="1"/>
  <c r="K302" i="1"/>
  <c r="I303" i="1"/>
  <c r="J303" i="1"/>
  <c r="K303" i="1"/>
  <c r="I304" i="1"/>
  <c r="J304" i="1"/>
  <c r="K304" i="1"/>
  <c r="I305" i="1"/>
  <c r="J305" i="1"/>
  <c r="K305" i="1"/>
  <c r="I306" i="1"/>
  <c r="J306" i="1"/>
  <c r="K306" i="1"/>
  <c r="I307" i="1"/>
  <c r="J307" i="1"/>
  <c r="K307" i="1"/>
  <c r="I308" i="1"/>
  <c r="J308" i="1"/>
  <c r="K308" i="1"/>
  <c r="I309" i="1"/>
  <c r="J309" i="1"/>
  <c r="K309" i="1"/>
  <c r="I310" i="1"/>
  <c r="J310" i="1"/>
  <c r="K310" i="1"/>
  <c r="I311" i="1"/>
  <c r="J311" i="1"/>
  <c r="K311" i="1"/>
  <c r="I312" i="1"/>
  <c r="J312" i="1"/>
  <c r="K312" i="1"/>
  <c r="I313" i="1"/>
  <c r="J313" i="1"/>
  <c r="K313" i="1"/>
  <c r="I314" i="1"/>
  <c r="J314" i="1"/>
  <c r="K314" i="1"/>
  <c r="I315" i="1"/>
  <c r="J315" i="1"/>
  <c r="K315" i="1"/>
  <c r="I316" i="1"/>
  <c r="J316" i="1"/>
  <c r="K316" i="1"/>
  <c r="I317" i="1"/>
  <c r="J317" i="1"/>
  <c r="K317" i="1"/>
  <c r="I318" i="1"/>
  <c r="J318" i="1"/>
  <c r="K318" i="1"/>
  <c r="I319" i="1"/>
  <c r="J319" i="1"/>
  <c r="K319" i="1"/>
  <c r="I320" i="1"/>
  <c r="J320" i="1"/>
  <c r="K320" i="1"/>
  <c r="I321" i="1"/>
  <c r="J321" i="1"/>
  <c r="K321" i="1"/>
  <c r="I322" i="1"/>
  <c r="J322" i="1"/>
  <c r="K322" i="1"/>
  <c r="I323" i="1"/>
  <c r="J323" i="1"/>
  <c r="K323" i="1"/>
  <c r="I324" i="1"/>
  <c r="J324" i="1"/>
  <c r="K324" i="1"/>
  <c r="I325" i="1"/>
  <c r="J325" i="1"/>
  <c r="K325" i="1"/>
  <c r="I326" i="1"/>
  <c r="J326" i="1"/>
  <c r="K326" i="1"/>
  <c r="K2" i="1"/>
  <c r="J2" i="1"/>
  <c r="I2"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4" i="1"/>
  <c r="H5" i="1"/>
  <c r="H3" i="1"/>
  <c r="H2" i="1"/>
</calcChain>
</file>

<file path=xl/sharedStrings.xml><?xml version="1.0" encoding="utf-8"?>
<sst xmlns="http://schemas.openxmlformats.org/spreadsheetml/2006/main" count="1330" uniqueCount="474">
  <si>
    <t>sentence</t>
  </si>
  <si>
    <t>term</t>
  </si>
  <si>
    <t>Zero shot polarity</t>
  </si>
  <si>
    <t>Human Annotated Polarity</t>
  </si>
  <si>
    <t>should be term</t>
  </si>
  <si>
    <t>should be polarity</t>
  </si>
  <si>
    <t>Zero shot error (0 - correct, 1- error)</t>
  </si>
  <si>
    <t>True Positive</t>
  </si>
  <si>
    <t>False Positive</t>
  </si>
  <si>
    <t>False Negative</t>
  </si>
  <si>
    <t>I charge it at night and skip taking the cord with me because of the good battery life.</t>
  </si>
  <si>
    <t>cord</t>
  </si>
  <si>
    <t>positive</t>
  </si>
  <si>
    <t>Neutral</t>
  </si>
  <si>
    <t>Recall</t>
  </si>
  <si>
    <t>battery life</t>
  </si>
  <si>
    <t>Positive</t>
  </si>
  <si>
    <t>Precision</t>
  </si>
  <si>
    <t>The tech guy then said the service center does not do 1-to-1 exchange and I have to direct my concern to the "sales" team, which is the retail shop which I bought my netbook from.</t>
  </si>
  <si>
    <t>service center</t>
  </si>
  <si>
    <t>negative</t>
  </si>
  <si>
    <t>Negative</t>
  </si>
  <si>
    <t>F1-score</t>
  </si>
  <si>
    <t>sales team</t>
  </si>
  <si>
    <t>neutral</t>
  </si>
  <si>
    <t>it is of high quality, has a killer GUI, is extremely stable, is highly expandable, is bundled with lots of very good applications, is easy to use, and is absolutely gorgeous.</t>
  </si>
  <si>
    <t>quality</t>
  </si>
  <si>
    <t>GUI</t>
  </si>
  <si>
    <t>applications</t>
  </si>
  <si>
    <t>use</t>
  </si>
  <si>
    <t>Easy to start up and does not overheat as much as other laptops.</t>
  </si>
  <si>
    <t>start up</t>
  </si>
  <si>
    <t>overheat</t>
  </si>
  <si>
    <t>other laptops</t>
  </si>
  <si>
    <t>N</t>
  </si>
  <si>
    <t>I even got my teenage son one, because of the features that it offers, like, iChat, Photobooth, garage band and more!</t>
  </si>
  <si>
    <t>features</t>
  </si>
  <si>
    <t>iChat</t>
  </si>
  <si>
    <t>Photobooth</t>
  </si>
  <si>
    <t>garage band</t>
  </si>
  <si>
    <t>Great laptop that offers many great features!</t>
  </si>
  <si>
    <t>laptop</t>
  </si>
  <si>
    <t>P</t>
  </si>
  <si>
    <t>One night I turned the freaking thing off after using it, the next day I turn it on, no GUI, screen all dark, power light steady, hard drive light steady and not flashing as it usually does.</t>
  </si>
  <si>
    <t xml:space="preserve">thing </t>
  </si>
  <si>
    <t>screen</t>
  </si>
  <si>
    <t>power light</t>
  </si>
  <si>
    <t>hard drive light</t>
  </si>
  <si>
    <t>I took it back for an Asus and same thing- blue screen which required me to remove the battery to reset.</t>
  </si>
  <si>
    <t>blue screen</t>
  </si>
  <si>
    <t>battery</t>
  </si>
  <si>
    <t>In the shop, these MacBooks are encased in a soft rubber enclosure - so you will never know about the razor edge until you buy it, get it home, break the seal and use it (very clever con).</t>
  </si>
  <si>
    <t>edge</t>
  </si>
  <si>
    <t>However, the multi-touch gestures and large tracking area make having an external mouse unnecessary (unless you're gaming).</t>
  </si>
  <si>
    <t>multi-touch gestures</t>
  </si>
  <si>
    <t>tracking area</t>
  </si>
  <si>
    <t>external mouse</t>
  </si>
  <si>
    <t>I love the way the entire suite of software works together.</t>
  </si>
  <si>
    <t>suite of software</t>
  </si>
  <si>
    <t>The speed is incredible and I am more than satisfied.</t>
  </si>
  <si>
    <t>speed</t>
  </si>
  <si>
    <t>This laptop meets every expectation and Windows 7 is great!</t>
  </si>
  <si>
    <t>Windows 7</t>
  </si>
  <si>
    <t>I can barely use any usb devices because they will not stay connected properly.</t>
  </si>
  <si>
    <t>usb devices</t>
  </si>
  <si>
    <t>When I finally had everything running with all my software installed I plugged in my droid to recharge and the system crashed.</t>
  </si>
  <si>
    <t>system</t>
  </si>
  <si>
    <t>One suggestion I do have, is to not bother getting Microsoft office for the mac expecting it will work just like you knew it to on a PC.</t>
  </si>
  <si>
    <t>Microsoft office</t>
  </si>
  <si>
    <t>Pairing it with an iPhone is a pure pleasure - talk about painless syncing - used to take me forever - now it's a snap.</t>
  </si>
  <si>
    <t>Pairing</t>
  </si>
  <si>
    <t>IPHONE</t>
  </si>
  <si>
    <t>syncing</t>
  </si>
  <si>
    <t>I also got the added bonus of a 30" HD Monitor, which really helps to extend my screen and keep my eyes fresh!</t>
  </si>
  <si>
    <t>Monitor</t>
  </si>
  <si>
    <t>The machine is slow to boot up and occasionally crashes completely.</t>
  </si>
  <si>
    <t>boot up</t>
  </si>
  <si>
    <t>MACHINE</t>
  </si>
  <si>
    <t>After paying several hundred dollars for this service, it is frustrating that you cannot get help after hours.</t>
  </si>
  <si>
    <t>service</t>
  </si>
  <si>
    <t>help</t>
  </si>
  <si>
    <t>I did have to replace the battery once, but that was only a couple months ago and it's been working perfect ever since.</t>
  </si>
  <si>
    <t>I love the operating system and the preloaded software.</t>
  </si>
  <si>
    <t>operating system</t>
  </si>
  <si>
    <t>preloaded software</t>
  </si>
  <si>
    <t>The best thing about this laptop is the price along with some of the newer features.</t>
  </si>
  <si>
    <t>price</t>
  </si>
  <si>
    <t>After numerous attempts of trying (including setting the clock in BIOS setup directly), I gave up(I am a techie).</t>
  </si>
  <si>
    <t>BIOS setup</t>
  </si>
  <si>
    <t>YOU WILL NOT BE ABLE TO TALK TO AN AMERICAN WARRANTY SERVICE IS OUT OF COUNTRY.</t>
  </si>
  <si>
    <t>WARRANTY SERVICE</t>
  </si>
  <si>
    <t>but now i have realized its a problem with this brand.</t>
  </si>
  <si>
    <t>brand</t>
  </si>
  <si>
    <t>I sent it back to Toshiba twice they covered it under the warranty.</t>
  </si>
  <si>
    <t>warranty</t>
  </si>
  <si>
    <t>I was looking for a mac which is portable and has all the features that I was looking for.</t>
  </si>
  <si>
    <t>Also kinda loud when the fan was running.</t>
  </si>
  <si>
    <t>fan</t>
  </si>
  <si>
    <t>In desparation, I called their Customer Service number and was told that my warranty had expired (2 days old) and that the priviledge of talking to a technician would cost me ("have your credit card ready").</t>
  </si>
  <si>
    <t>Customer Service number</t>
  </si>
  <si>
    <t>technician</t>
  </si>
  <si>
    <t>There also seemed to be a problem with the hard disc as certain times windows loads but claims to not be able to find any drivers or files.</t>
  </si>
  <si>
    <t>hard disc</t>
  </si>
  <si>
    <t>windows</t>
  </si>
  <si>
    <t>drivers</t>
  </si>
  <si>
    <t>files</t>
  </si>
  <si>
    <t>Drivers updated ok but the BIOS update froze the system up and the computer shut down.</t>
  </si>
  <si>
    <t>Drivers</t>
  </si>
  <si>
    <t>BIOS update</t>
  </si>
  <si>
    <t>Spent 2 hours on phone with HP Technical Support.</t>
  </si>
  <si>
    <t>Technical Support</t>
  </si>
  <si>
    <t>Speaking of the browser, it too has problems.</t>
  </si>
  <si>
    <t>browser</t>
  </si>
  <si>
    <t>The keyboard is too slick.</t>
  </si>
  <si>
    <t>keyboard</t>
  </si>
  <si>
    <t>Nightly my computer defrags itself and runs a virus scan.</t>
  </si>
  <si>
    <t>defrags</t>
  </si>
  <si>
    <t>COMPUTER</t>
  </si>
  <si>
    <t>virus scan</t>
  </si>
  <si>
    <t>It's like 9 punds, but if you can look past it, it's GREAT!</t>
  </si>
  <si>
    <t>IT</t>
  </si>
  <si>
    <t>It's just as fast with one program open as it is with sixteen open.</t>
  </si>
  <si>
    <t>Still under warrenty so called Toshiba, no help at all.</t>
  </si>
  <si>
    <t>warrenty</t>
  </si>
  <si>
    <t>I was happy with My purchase of a Toshiba Satellite L305D-S5934 laptop until it came time to have it repaired under the Toshiba Warranty.</t>
  </si>
  <si>
    <t>Toshiba Warranty</t>
  </si>
  <si>
    <t>Amazing Quality!</t>
  </si>
  <si>
    <t>Quality</t>
  </si>
  <si>
    <t>The fact that you can spend over $100 on just a webcam underscores the value of this machine.</t>
  </si>
  <si>
    <t>webcam</t>
  </si>
  <si>
    <t>value</t>
  </si>
  <si>
    <t>I mainly use it for email, internet, and managing personal files (pics, vids, etc.).</t>
  </si>
  <si>
    <t>email</t>
  </si>
  <si>
    <t>internet</t>
  </si>
  <si>
    <t>managing personal files</t>
  </si>
  <si>
    <t>A month or so ago, the freaking motherboard just died.</t>
  </si>
  <si>
    <t>motherboard</t>
  </si>
  <si>
    <t>The system it comes with does not work properly, so when trying to fix the problems with it it started not working at all.</t>
  </si>
  <si>
    <t>Then after 4 or so months the charger stopped working so I was forced to go out and buy new hardware just to keep this computer running.</t>
  </si>
  <si>
    <t>charger</t>
  </si>
  <si>
    <t>hardware</t>
  </si>
  <si>
    <t>If a website ever freezes (which is rare), its really easy to force quit.</t>
  </si>
  <si>
    <t>force quit</t>
  </si>
  <si>
    <t>WEBSITE</t>
  </si>
  <si>
    <t>It rarely works and when it does it's incredibly slow.</t>
  </si>
  <si>
    <t>I also enjoy the fact that my MacBook Pro laptop allows me to run Windows 7 on it by using the VMWare program.</t>
  </si>
  <si>
    <t>run Windows 7</t>
  </si>
  <si>
    <t>MACBOOK PRO</t>
  </si>
  <si>
    <t>VMWare program</t>
  </si>
  <si>
    <t>It's so much easier to navigate through the operating system, to find files, and it runs a lot faster!</t>
  </si>
  <si>
    <t>navigate</t>
  </si>
  <si>
    <t>find files</t>
  </si>
  <si>
    <t>Purchased a Toshiba Lap top it worked good until just after the warrenty went out.</t>
  </si>
  <si>
    <t>I wanted to purchase the extended warranty and they refused, because they knew it was trouble.</t>
  </si>
  <si>
    <t>extended warranty</t>
  </si>
  <si>
    <t>We upgraded the memory to four gigabytes in order to take advantage of the performace increase in speed.</t>
  </si>
  <si>
    <t>memory</t>
  </si>
  <si>
    <t>performace</t>
  </si>
  <si>
    <t>The reality was, it heated up very quickly, and took way too long to do simple things, like opening my Documents folder.</t>
  </si>
  <si>
    <t>opening my Documents folder</t>
  </si>
  <si>
    <t>I had always used PCs and been constantly frustrated by the crashing and the poorly designed operating systems that were never very intuitive.</t>
  </si>
  <si>
    <t>Then, within 5 months, the charger crapped out on me.</t>
  </si>
  <si>
    <t>And if you have a iphone or ipod touch you can connect and download songs to it at high speed.</t>
  </si>
  <si>
    <t>connect</t>
  </si>
  <si>
    <t>download songs</t>
  </si>
  <si>
    <t>IPOD</t>
  </si>
  <si>
    <t>I love the glass touchpad.</t>
  </si>
  <si>
    <t>glass touchpad</t>
  </si>
  <si>
    <t>I continued to take the computer in AGAIN and they replaced the hard drive and mother board yet again.</t>
  </si>
  <si>
    <t>hard drive</t>
  </si>
  <si>
    <t>mother board</t>
  </si>
  <si>
    <t>I am using the external speaker- sound is good.</t>
  </si>
  <si>
    <t>external speaker</t>
  </si>
  <si>
    <t>sound</t>
  </si>
  <si>
    <t>still testing the battery life as i thought it would be better, but am very happy with the upgrade.</t>
  </si>
  <si>
    <t>Then HP sends it back to me with the hardware screwed up, not able to connect.</t>
  </si>
  <si>
    <t>-</t>
  </si>
  <si>
    <t>Oh yeah, don't forget the expensive shipping to and from HP.</t>
  </si>
  <si>
    <t>shipping</t>
  </si>
  <si>
    <t>Everything is so easy to use, Mac software is just so much simpler than Microsoft software.</t>
  </si>
  <si>
    <t>Mac software</t>
  </si>
  <si>
    <t>Microsoft software</t>
  </si>
  <si>
    <t>And if you do a lot of writing, editing is a problem since there is no forward delete key.</t>
  </si>
  <si>
    <t>editing</t>
  </si>
  <si>
    <t>forward delete key</t>
  </si>
  <si>
    <t>Its ease of use and the top service from Apple- be it their phone assistance or bellying up to the genius bar- cannot be beat.</t>
  </si>
  <si>
    <t>ease of use</t>
  </si>
  <si>
    <t>phone assistance</t>
  </si>
  <si>
    <t>genius bar</t>
  </si>
  <si>
    <t>It has a 10 hour battery life when you're doing web browsing and word editing, making it perfect for the classroom or office, and in terms of gaming and movie playing it'll have a battery life of just over 5 hours.</t>
  </si>
  <si>
    <t>Acer has set me up with FREE recovery discs, when they are available since I asked.</t>
  </si>
  <si>
    <t>recovery discs</t>
  </si>
  <si>
    <t>I also purchased Office Max's "Max Assurance" with the "no lemon" clause.</t>
  </si>
  <si>
    <t>Max Assurance</t>
  </si>
  <si>
    <t>no lemon clause</t>
  </si>
  <si>
    <t>I eventually did the migration from my iMac backup disc which uses USB.</t>
  </si>
  <si>
    <t>migration</t>
  </si>
  <si>
    <t>The battery life seems to be very good, and have had no issues with it.</t>
  </si>
  <si>
    <t>Enabling the battery timer is useless.</t>
  </si>
  <si>
    <t>battery timer</t>
  </si>
  <si>
    <t>Temperatures on the outside were alright but i did not track in Core Processing Unit temperatures.</t>
  </si>
  <si>
    <t>Temperatures</t>
  </si>
  <si>
    <t>Core Processing Unit temperatures</t>
  </si>
  <si>
    <t>Going to bring it to service today.</t>
  </si>
  <si>
    <t>There is no need to purchase virus protection for Mac, which saves me a lot of time and money.</t>
  </si>
  <si>
    <t>virus protection</t>
  </si>
  <si>
    <t>But we had paid for bluetooth, and there was none.</t>
  </si>
  <si>
    <t>bluetooth</t>
  </si>
  <si>
    <t>So, I paid a visit to LG notebook service center at Alexandra Road, hoping they can make the hinge tighter.</t>
  </si>
  <si>
    <t>hinge</t>
  </si>
  <si>
    <t>My daughter uses it for games, email, facebook, pictures and music.</t>
  </si>
  <si>
    <t>games</t>
  </si>
  <si>
    <t>facebook</t>
  </si>
  <si>
    <t>pictures</t>
  </si>
  <si>
    <t>music</t>
  </si>
  <si>
    <t>It is always reliable, never bugged and responds well.</t>
  </si>
  <si>
    <t>reliable</t>
  </si>
  <si>
    <t>responds</t>
  </si>
  <si>
    <t>After about a week I finally got it back and was told that the motherboard had failed and so they installed a new motherboard.</t>
  </si>
  <si>
    <t>It was slow, locked up, and also had hardware replaced after only 2 months!</t>
  </si>
  <si>
    <t>locked up</t>
  </si>
  <si>
    <t>they had to replace the motherboard in April</t>
  </si>
  <si>
    <t>Yes, the computer was light weight, less expensive than the average laptop, and was pretty self explantory in use.</t>
  </si>
  <si>
    <t>weight</t>
  </si>
  <si>
    <t>Also, if you need to talk to a representive at Microsoft, there is a charge, which I believe is robbery, since you are charged enormous amounts for a very badly designed system, which most people would have went with XP if they could.</t>
  </si>
  <si>
    <t>representive</t>
  </si>
  <si>
    <t>I love WIndows 7 which is a vast improvment over Vista.</t>
  </si>
  <si>
    <t>WIndows 7</t>
  </si>
  <si>
    <t>Vista</t>
  </si>
  <si>
    <t>Keyboard is great, very quiet for all the typing that I do.</t>
  </si>
  <si>
    <t>Keyboard</t>
  </si>
  <si>
    <t>Dell's customer disservice is an insult to it's customers who pay good money for shoddy products.</t>
  </si>
  <si>
    <t>customer disservice</t>
  </si>
  <si>
    <t>products</t>
  </si>
  <si>
    <t>It had a cooling system malfunction after 10 minutes of general use, and would not move past this error.</t>
  </si>
  <si>
    <t>cooling system</t>
  </si>
  <si>
    <t>I can render AVCHD movies with little effort, which was a problem for most pc's unless you had a quad core I7.</t>
  </si>
  <si>
    <t>render AVCHD movies</t>
  </si>
  <si>
    <t>After talking it over with the very knowledgeable sales associate, I chose the MacBook Pro over the white MacBook.</t>
  </si>
  <si>
    <t>sales associate</t>
  </si>
  <si>
    <t>If you really want a bang-up system and don't need to run Windows applications, go with an Apple;</t>
  </si>
  <si>
    <t>run Windows applications</t>
  </si>
  <si>
    <t>You won't have to spend gobs of money on some inefficient virus program that needs to be updated every month and that constantly drains your wallet.</t>
  </si>
  <si>
    <t>virus program</t>
  </si>
  <si>
    <t>It weighed like seven pounds or something like that.</t>
  </si>
  <si>
    <t>2 months later, the battery went.</t>
  </si>
  <si>
    <t>You may need to special order a bag.</t>
  </si>
  <si>
    <t>bag</t>
  </si>
  <si>
    <t>It's color is even cool.</t>
  </si>
  <si>
    <t>color</t>
  </si>
  <si>
    <t>keys are all in weird places and is way too large for the way it is designed.</t>
  </si>
  <si>
    <t>keys</t>
  </si>
  <si>
    <t>designed</t>
  </si>
  <si>
    <t>Yes, a Mac is much more money than the average laptop out there, but there is no comparison in style, speed and just cool factor.</t>
  </si>
  <si>
    <t>style</t>
  </si>
  <si>
    <t>cool factor</t>
  </si>
  <si>
    <t>The keyboard feels good and I type just fine on it.</t>
  </si>
  <si>
    <t>I thought the white Mac computers looked dirty too quicly where you use the mousepad and where you place your hands when typing.</t>
  </si>
  <si>
    <t>mousepad</t>
  </si>
  <si>
    <t>And not to mention after using it for a few months or so, the battery will slowly less and less hold a charge until you can't leave it unplugged for more than 5 minutes without the thing dying.</t>
  </si>
  <si>
    <t>hold a charge</t>
  </si>
  <si>
    <t>BEST BUY - 5 STARS + + + (sales, service, respect for old men who aren't familiar with the technology) DELL COMPUTERS - 3 stars DELL SUPPORT - owes a me a couple</t>
  </si>
  <si>
    <t>sales</t>
  </si>
  <si>
    <t>SUPPORT</t>
  </si>
  <si>
    <t>no complaints with their desktop, and maybe because it just sits on your desktop, and you don't carry it around, which could jar the hard drive, or the motherboard.</t>
  </si>
  <si>
    <t>desktop</t>
  </si>
  <si>
    <t>Yes, they cost more, but they more than make up for it in speed, construction quality, and longevity.</t>
  </si>
  <si>
    <t>construction quality</t>
  </si>
  <si>
    <t>longevity</t>
  </si>
  <si>
    <t>Since I keyboard over 100 wpm, I look for a unit that has a comfortble keyboard (no keys sticking or lagging, strange configuration of "extra key", etc.)</t>
  </si>
  <si>
    <t>I also tried the touch pad and compared it to other netbooks in the store.</t>
  </si>
  <si>
    <t>touch pad</t>
  </si>
  <si>
    <t>It absolutely is more expensive than most PC laptops, but the ease of use, security, and minimal problems that have arisen make it well worth the pricetag.</t>
  </si>
  <si>
    <t>security</t>
  </si>
  <si>
    <t>pricetag</t>
  </si>
  <si>
    <t>It gets stuck all of the time you use it, and you have to keep tapping on it to get it to work.</t>
  </si>
  <si>
    <t>lots of preloaded software.</t>
  </si>
  <si>
    <t>I wish it had a webcam though, then it would be perfect!</t>
  </si>
  <si>
    <t>My favorite part of this computer is that it has a vga port so I can connect it to a bigger screen.</t>
  </si>
  <si>
    <t>vga port</t>
  </si>
  <si>
    <t>Another thing I might add is the battery life is excellent.</t>
  </si>
  <si>
    <t>One drawback, I wish the keys were backlit.</t>
  </si>
  <si>
    <t>Acer was no help and Garmin could not determine the problem(after spending about 2 hours with me), so I returned it and purchased a Toshiba R700 that seems even nicer and I was able to load all of my software with no problem.</t>
  </si>
  <si>
    <t>Acer</t>
  </si>
  <si>
    <t>Garmin</t>
  </si>
  <si>
    <t>Toshiba R700</t>
  </si>
  <si>
    <t>load all of my software</t>
  </si>
  <si>
    <t>I wish the volume could be louder and the mouse didnt break after only a month.</t>
  </si>
  <si>
    <t>volume</t>
  </si>
  <si>
    <t>mouse</t>
  </si>
  <si>
    <t>I play a lot of casual games online, and the touchpad is very responsive.</t>
  </si>
  <si>
    <t>touchpad</t>
  </si>
  <si>
    <t>Granted, it's still a very new laptop but in comparison to my previous laptops and desktops, my Mac boots up noticeably quicker.</t>
  </si>
  <si>
    <t>boots up</t>
  </si>
  <si>
    <t>It caught a virus that completely wiped out my hard drive in a matter of hours.</t>
  </si>
  <si>
    <t>It is everything I'd hoped it would be from a look and feel standpoint, but somehow a bit more sturdy.</t>
  </si>
  <si>
    <t>look and feel</t>
  </si>
  <si>
    <t>sturdy</t>
  </si>
  <si>
    <t>the only fact i dont like about apples is they generally use safari and i dont use safari but after i install Mozzilla firfox i love every single bit about it.</t>
  </si>
  <si>
    <t>safari</t>
  </si>
  <si>
    <t>Mozzilla firfox</t>
  </si>
  <si>
    <t>The Bluetooth was not there at all, and the fingerprint reader driver would be there, but the software would hang after installation was 1/2 way done.</t>
  </si>
  <si>
    <t>Bluetooth</t>
  </si>
  <si>
    <t>fingerprint reader driver</t>
  </si>
  <si>
    <t>software</t>
  </si>
  <si>
    <t>Great battery, speed, display.</t>
  </si>
  <si>
    <t>display</t>
  </si>
  <si>
    <t>The delivery was fast, and I would not hesitate to purchase this laptop again.</t>
  </si>
  <si>
    <t>delivery</t>
  </si>
  <si>
    <t>I've been impressed with the battery life and the performance for such a small amount of memory.</t>
  </si>
  <si>
    <t>performance</t>
  </si>
  <si>
    <t>It's applications are terrific, including the replacements for Microsoft office.</t>
  </si>
  <si>
    <t>replacements for Microsoft office</t>
  </si>
  <si>
    <t>they improved nothing else such as Resolution, appearance, cooling system, graphics card, etc.</t>
  </si>
  <si>
    <t>Resolution</t>
  </si>
  <si>
    <t>appearance</t>
  </si>
  <si>
    <t>graphics card</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</si>
  <si>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</si>
  <si>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built-in webcam</t>
  </si>
  <si>
    <t>built-in mic</t>
  </si>
  <si>
    <t>Is this partially due to the fact that it is running Windows Vista?</t>
  </si>
  <si>
    <t>Windows Vista</t>
  </si>
  <si>
    <t>The board has a bad connector with the power supply and shortly after warrenty expires the power supply will start having issues.</t>
  </si>
  <si>
    <t>board</t>
  </si>
  <si>
    <t>connector</t>
  </si>
  <si>
    <t>power supply</t>
  </si>
  <si>
    <t>My dad has one of the very first Toshibas ever made, yes its abit slow now but still works well and i hooked to my ethernet!</t>
  </si>
  <si>
    <t>works</t>
  </si>
  <si>
    <t xml:space="preserve">IT </t>
  </si>
  <si>
    <t>Mostly I love the drag and drop feature.</t>
  </si>
  <si>
    <t>drag and drop feature</t>
  </si>
  <si>
    <t>oh yeah, and if the fancy webcam breaks guess who you have to send it to to get it fixed?</t>
  </si>
  <si>
    <t>I ordered through MacMall, which saved me the sales tax I would have incurred buying locally.</t>
  </si>
  <si>
    <t>MacMall</t>
  </si>
  <si>
    <t>sales tax</t>
  </si>
  <si>
    <t>Of course, I also have several great software packages that came for free including iWork, GarageBand, and iMovie.</t>
  </si>
  <si>
    <t>software packages</t>
  </si>
  <si>
    <t>iWork</t>
  </si>
  <si>
    <t>GarageBand</t>
  </si>
  <si>
    <t>iMovie</t>
  </si>
  <si>
    <t>The screen is very large and crystal clear with amazing colors and resolution.</t>
  </si>
  <si>
    <t>colors</t>
  </si>
  <si>
    <t>resolution</t>
  </si>
  <si>
    <t>After a little more than a year of owning my MacBook Pro, the monitor has completely died.</t>
  </si>
  <si>
    <t>monitor</t>
  </si>
  <si>
    <t>The brand of iTunes has just become ingrained in our lexicon now, but keep in mind that Apple started it all.</t>
  </si>
  <si>
    <t>iTunes</t>
  </si>
  <si>
    <t>Size: I know 13 is small (especially for a desktop replacement) but with an external monitor, who cares.</t>
  </si>
  <si>
    <t>Size</t>
  </si>
  <si>
    <t>external monitor</t>
  </si>
  <si>
    <t>Additional caveat: the base installation comes with some Toshiba-specific software that may or may not be to a user's liking.</t>
  </si>
  <si>
    <t>base installation</t>
  </si>
  <si>
    <t>Toshiba-specific software</t>
  </si>
  <si>
    <t>Taking it back to Best Buy I found that a tiny plastic piece inside had broken (manuf issue).</t>
  </si>
  <si>
    <t>plastic piece</t>
  </si>
  <si>
    <t>It has no camera but, I can always buy and install one easy.</t>
  </si>
  <si>
    <t>camera</t>
  </si>
  <si>
    <t>The display is incredibly bright, much brighter than my PowerBook and very crisp.</t>
  </si>
  <si>
    <t>The AMD Turin processor seems to always perform so much better than Intel.</t>
  </si>
  <si>
    <t>AMD Turin processor</t>
  </si>
  <si>
    <t>Intel</t>
  </si>
  <si>
    <t>After that the said it was under warranty.</t>
  </si>
  <si>
    <t>The start menu is not the easiest thing to navigate due to the stacking.</t>
  </si>
  <si>
    <t>start menu</t>
  </si>
  <si>
    <t>Only thing I would want to add to this is an internal bluray read/write drive.</t>
  </si>
  <si>
    <t>internal bluray read/write drive</t>
  </si>
  <si>
    <t>The service tech said he had tried to duplicate the damage and wasn't able to recreate it therefore it had to be their defect.</t>
  </si>
  <si>
    <t>service tech</t>
  </si>
  <si>
    <t>The tech store I purchased this from sent it back,,,,,eventually I got a new or repaired machine approximately 3 weeks later.</t>
  </si>
  <si>
    <t>tech store</t>
  </si>
  <si>
    <t>Really like the textured surface which shows no fingerprints.</t>
  </si>
  <si>
    <t>textured surface</t>
  </si>
  <si>
    <t>The screen is bright and the keyboard is nice;</t>
  </si>
  <si>
    <t>But the machine is awesome and iLife is great and I love Snow Leopard X.</t>
  </si>
  <si>
    <t>iLife</t>
  </si>
  <si>
    <t>Snow Leopard X</t>
  </si>
  <si>
    <t>High price tag, however.</t>
  </si>
  <si>
    <t>price tag</t>
  </si>
  <si>
    <t>I thought learning the Mac OS would be hard, but it is easily picked up if you are familiar with a PC.</t>
  </si>
  <si>
    <t>Mac OS</t>
  </si>
  <si>
    <t>I had static in the output, and I had to reduce the sound output quality to "FM" as opposed to the default "CD.</t>
  </si>
  <si>
    <t>output</t>
  </si>
  <si>
    <t>sound output quality</t>
  </si>
  <si>
    <t>I custom ordered the machine from HP and could NOT understand the techie due to his accent.</t>
  </si>
  <si>
    <t>techie</t>
  </si>
  <si>
    <t>It is easy to use and lightweight.</t>
  </si>
  <si>
    <t>I went to Toshiba online help and found some suggestions to fix it.</t>
  </si>
  <si>
    <t>Toshiba online help</t>
  </si>
  <si>
    <t>They also have a longer service life than other computers (I have several friends who still use the older Apple PowerBooks).</t>
  </si>
  <si>
    <t>service life</t>
  </si>
  <si>
    <t>If you check you will find the same notebook with the above missing ports and a dual core AMD or Intel processor.</t>
  </si>
  <si>
    <t>ports</t>
  </si>
  <si>
    <t>This laptop is a great price and has a sleek look.</t>
  </si>
  <si>
    <t>look</t>
  </si>
  <si>
    <t>I especially like the keyboard which has chiclet type keys.</t>
  </si>
  <si>
    <t>Small screen somewhat limiting but great for travel.</t>
  </si>
  <si>
    <t>Runs Hot I thought we were paying for quality in our decision to buy an Apple product.</t>
  </si>
  <si>
    <t>For the not so good, I got the stock screen - which is VERY glossy.</t>
  </si>
  <si>
    <t>stock screen</t>
  </si>
  <si>
    <t>The gray color was a good choice.</t>
  </si>
  <si>
    <t>I would like to have volume buttons rather than the adjustment that is on the front.</t>
  </si>
  <si>
    <t>volume buttons</t>
  </si>
  <si>
    <t>adjustment</t>
  </si>
  <si>
    <t>The processor a AMD Semprom at 2.1 ghz is a bummer it does not have the power for HD or heavy computing.</t>
  </si>
  <si>
    <t>processor</t>
  </si>
  <si>
    <t>power</t>
  </si>
  <si>
    <t>I bought a protector for my key pad and it works great :)</t>
  </si>
  <si>
    <t>key pad</t>
  </si>
  <si>
    <t>protector</t>
  </si>
  <si>
    <t>The magnetic plug-in power charging power cord is great (I even put it to the test by accident)- excellent innovation!</t>
  </si>
  <si>
    <t>magnetic plug-in power charging power cord</t>
  </si>
  <si>
    <t>It seems they could have updated XP and done without creating Vista.</t>
  </si>
  <si>
    <t>XP</t>
  </si>
  <si>
    <t>It is easy to use, fast and has great graphics for the money.</t>
  </si>
  <si>
    <t>graphics</t>
  </si>
  <si>
    <t>I like how the Mac OS is so simple and easy to use.</t>
  </si>
  <si>
    <t>While Apple's saving grace is the fact that they at least stand behind their products, and their support is great, it would be nice if their products were more reliable to justify the premium.</t>
  </si>
  <si>
    <t>support</t>
  </si>
  <si>
    <t>I was ready to take it back for a refund, but the Geek Squad camed through and pointed me in the right direction to get it fixed.</t>
  </si>
  <si>
    <t>Geek Squad</t>
  </si>
  <si>
    <t>only good thing is the graphics quality.</t>
  </si>
  <si>
    <t>graphics quality</t>
  </si>
  <si>
    <t>The other lock-up problems are from a myriad of causes, the most common being a corrupted version of Appleworks which can render the browser useless.</t>
  </si>
  <si>
    <t>Appleworks</t>
  </si>
  <si>
    <t>The paint wears off easily due to the keyboard being farther back than usual.</t>
  </si>
  <si>
    <t>paint</t>
  </si>
  <si>
    <t>I had purchased it from a major electronics store and took it to their service department to find out what the problem was.</t>
  </si>
  <si>
    <t>service department</t>
  </si>
  <si>
    <t>The store honored their warrenty and made the comment that they don't even recommend the HP brand because of the problems with their warrentys.</t>
  </si>
  <si>
    <t>HP brand</t>
  </si>
  <si>
    <t>I always use a backup hard disk to store important files at all times.</t>
  </si>
  <si>
    <t>backup hard disk</t>
  </si>
  <si>
    <t>They sent out the box right away for me to send in my computer, they paid postage and whatnot, but when I got my computer back it still wasn't running right, and now my CD drive wasn't reading anything!</t>
  </si>
  <si>
    <t>CD drive</t>
  </si>
  <si>
    <t>But the screen size is not that bad for email and web browsing.</t>
  </si>
  <si>
    <t>screen size</t>
  </si>
  <si>
    <t>Once I removed all the software the laptop loads in 15-20 seconds.</t>
  </si>
  <si>
    <t>loads</t>
  </si>
  <si>
    <t>On my PowerBook G4 I would never use the trackpad I would use an external mouse because I didn't like the trackpad.</t>
  </si>
  <si>
    <t>trackpad</t>
  </si>
  <si>
    <t>This computer doesn't do that well with certain games it can't play some and it becomes too hot while playing games.</t>
  </si>
  <si>
    <t>Obviously one of the most important features of any computer is the "human interface.</t>
  </si>
  <si>
    <t>human interface</t>
  </si>
  <si>
    <t>Yeah, of course smarty pants "fix it now")Software - Compared to the early 2011 edition I did see inbuilt applications crashing and it prompted me to send the report to Apple (which I promptly did).</t>
  </si>
  <si>
    <t>inbuilt applications</t>
  </si>
  <si>
    <t>The body is a bit cheaply made so it will be interesting to see how long it holds up.</t>
  </si>
  <si>
    <t>body</t>
  </si>
  <si>
    <t>The i5 blows my desktop out of the water when it comes to rendering videos.</t>
  </si>
  <si>
    <t>i5</t>
  </si>
  <si>
    <t>rendering videos</t>
  </si>
  <si>
    <t>With a mac you don't have to worry about antivirus software or firewall, it's so wonderful.</t>
  </si>
  <si>
    <t>antivirus software</t>
  </si>
  <si>
    <t>MAC</t>
  </si>
  <si>
    <t>firewall</t>
  </si>
  <si>
    <t>Am very glad I bought it, great netbook, low price.</t>
  </si>
  <si>
    <t>The Apple team also assists you very nicely when choosing which computer is right for you :)</t>
  </si>
  <si>
    <t>Apple team</t>
  </si>
  <si>
    <t>I think part of the problem with this computer is Vista, yet I know Vista isn't the entire issue because my latest purchase was my Acer and it also has Vista (I should have waited the few months to get the next operating system).</t>
  </si>
  <si>
    <t>The video chat is the only thing that is iffy about it but im sure once they unpdate the next version on the macbook book the quality of it will be better.</t>
  </si>
  <si>
    <t>video chat</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</si>
  <si>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</si>
  <si>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fix it</t>
  </si>
  <si>
    <t>EXPERIENCE</t>
  </si>
  <si>
    <t>Fan vents to the side, so no cooling pad needed, great feature!</t>
  </si>
  <si>
    <t>Fan vents</t>
  </si>
  <si>
    <t>FEATURE</t>
  </si>
  <si>
    <t>cooling pad</t>
  </si>
  <si>
    <t>i use my mac all the time, i love the software, the way it takes a short time to load things, how easy it is to use and most of all how you don't have to worry about viruses.</t>
  </si>
  <si>
    <t>load things</t>
  </si>
  <si>
    <t>Wasted me at least 8 hours of installation time.</t>
  </si>
  <si>
    <t>installation time</t>
  </si>
  <si>
    <t>It has far exceeded my expectations for power, storage, and abilitiy.</t>
  </si>
  <si>
    <t>storage</t>
  </si>
  <si>
    <t>abilitiy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</si>
</sst>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1"/>
      <name val="Calibri"/>
      <family val="2"/>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1" xfId="0" applyFont="1" applyBorder="1" applyAlignment="1">
      <alignment horizontal="center" vertical="top" wrapText="1"/>
    </xf>
    <xf numFmtId="0" fontId="1" fillId="0" borderId="0" xfId="0" applyFont="1"/>
    <xf numFmtId="0" fontId="1" fillId="0" borderId="0" xfId="0" applyFont="1" applyAlignment="1">
      <alignment wrapText="1"/>
    </xf>
    <xf numFmtId="0" fontId="3" fillId="0" borderId="1" xfId="0" applyFont="1" applyBorder="1" applyAlignment="1">
      <alignment horizontal="center" vertical="top" wrapText="1"/>
    </xf>
    <xf numFmtId="0" fontId="1" fillId="0" borderId="0"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9AFE9-E9FE-4977-9222-8D5CAA33B7B5}">
  <dimension ref="A1:N327"/>
  <sheetViews>
    <sheetView tabSelected="1" zoomScale="161" workbookViewId="0">
      <selection activeCell="E2" sqref="E2"/>
    </sheetView>
  </sheetViews>
  <sheetFormatPr defaultRowHeight="14.45"/>
  <cols>
    <col min="1" max="1" width="51" style="1" customWidth="1"/>
    <col min="2" max="2" width="8.85546875" style="1"/>
    <col min="5" max="5" width="9.85546875" style="1" customWidth="1"/>
    <col min="6" max="6" width="7.140625" customWidth="1"/>
    <col min="7" max="7" width="9" customWidth="1"/>
  </cols>
  <sheetData>
    <row r="1" spans="1:14" ht="57.6">
      <c r="A1" s="2" t="s">
        <v>0</v>
      </c>
      <c r="B1" s="2" t="s">
        <v>1</v>
      </c>
      <c r="C1" s="5" t="s">
        <v>2</v>
      </c>
      <c r="D1" s="5"/>
      <c r="E1" s="4" t="s">
        <v>3</v>
      </c>
      <c r="F1" s="4" t="s">
        <v>4</v>
      </c>
      <c r="G1" s="4" t="s">
        <v>5</v>
      </c>
      <c r="H1" s="6" t="s">
        <v>6</v>
      </c>
      <c r="I1" s="4" t="s">
        <v>7</v>
      </c>
      <c r="J1" s="4" t="s">
        <v>8</v>
      </c>
      <c r="K1" s="4" t="s">
        <v>9</v>
      </c>
    </row>
    <row r="2" spans="1:14" ht="28.9">
      <c r="A2" s="1" t="s">
        <v>10</v>
      </c>
      <c r="B2" s="1" t="s">
        <v>11</v>
      </c>
      <c r="C2" t="s">
        <v>12</v>
      </c>
      <c r="E2" s="1" t="s">
        <v>13</v>
      </c>
      <c r="H2">
        <f>IF(LOWER(C2)=LOWER(E2), 0, 1)</f>
        <v>1</v>
      </c>
      <c r="I2">
        <f>IF(AND(LOWER(C2)="positive", LOWER(E2)="positive"), 1, 0)</f>
        <v>0</v>
      </c>
      <c r="J2">
        <f>IF(AND(LOWER(C2)="positive", LOWER(E2)&lt;&gt;"positive"), 1, 0)</f>
        <v>1</v>
      </c>
      <c r="K2">
        <f>IF(AND(LOWER(C2)&lt;&gt;"positive", LOWER(E2)="positive"), 1, 0)</f>
        <v>0</v>
      </c>
      <c r="M2" s="3" t="s">
        <v>14</v>
      </c>
      <c r="N2">
        <f>I327/(I327+K327)</f>
        <v>0.69047619047619047</v>
      </c>
    </row>
    <row r="3" spans="1:14" ht="28.9">
      <c r="A3" s="1" t="s">
        <v>10</v>
      </c>
      <c r="B3" s="1" t="s">
        <v>15</v>
      </c>
      <c r="C3" t="s">
        <v>12</v>
      </c>
      <c r="E3" s="1" t="s">
        <v>16</v>
      </c>
      <c r="H3">
        <f>IF(LOWER(C3)=LOWER(E3), 0, 1)</f>
        <v>0</v>
      </c>
      <c r="I3">
        <f t="shared" ref="I3:I66" si="0">IF(AND(LOWER(C3)="positive", LOWER(E3)="positive"), 1, 0)</f>
        <v>1</v>
      </c>
      <c r="J3">
        <f t="shared" ref="J3:J66" si="1">IF(AND(LOWER(C3)="positive", LOWER(E3)&lt;&gt;"positive"), 1, 0)</f>
        <v>0</v>
      </c>
      <c r="K3">
        <f t="shared" ref="K3:K66" si="2">IF(AND(LOWER(C3)&lt;&gt;"positive", LOWER(E3)="positive"), 1, 0)</f>
        <v>0</v>
      </c>
      <c r="M3" s="3" t="s">
        <v>17</v>
      </c>
      <c r="N3">
        <f>I327/(I327+J327)</f>
        <v>0.57236842105263153</v>
      </c>
    </row>
    <row r="4" spans="1:14" ht="43.15">
      <c r="A4" s="1" t="s">
        <v>18</v>
      </c>
      <c r="B4" s="1" t="s">
        <v>19</v>
      </c>
      <c r="C4" t="s">
        <v>20</v>
      </c>
      <c r="E4" s="1" t="s">
        <v>21</v>
      </c>
      <c r="H4">
        <f>IF(LOWER(C4)=LOWER(E4), 0, 1)</f>
        <v>0</v>
      </c>
      <c r="I4">
        <f t="shared" si="0"/>
        <v>0</v>
      </c>
      <c r="J4">
        <f t="shared" si="1"/>
        <v>0</v>
      </c>
      <c r="K4">
        <f t="shared" si="2"/>
        <v>0</v>
      </c>
      <c r="M4" s="3" t="s">
        <v>22</v>
      </c>
      <c r="N4">
        <f>2*I327/(2*I327+J327+K327)</f>
        <v>0.62589928057553956</v>
      </c>
    </row>
    <row r="5" spans="1:14" ht="43.15">
      <c r="A5" s="1" t="s">
        <v>18</v>
      </c>
      <c r="B5" s="1" t="s">
        <v>23</v>
      </c>
      <c r="C5" t="s">
        <v>24</v>
      </c>
      <c r="E5" s="1" t="s">
        <v>13</v>
      </c>
      <c r="H5">
        <f>IF(LOWER(C5)=LOWER(E5), 0, 1)</f>
        <v>0</v>
      </c>
      <c r="I5">
        <f t="shared" si="0"/>
        <v>0</v>
      </c>
      <c r="J5">
        <f t="shared" si="1"/>
        <v>0</v>
      </c>
      <c r="K5">
        <f t="shared" si="2"/>
        <v>0</v>
      </c>
    </row>
    <row r="6" spans="1:14" ht="43.15">
      <c r="A6" s="1" t="s">
        <v>25</v>
      </c>
      <c r="B6" s="1" t="s">
        <v>26</v>
      </c>
      <c r="C6" t="s">
        <v>12</v>
      </c>
      <c r="E6" s="1" t="s">
        <v>16</v>
      </c>
      <c r="H6">
        <f t="shared" ref="H6:H69" si="3">IF(LOWER(C6)=LOWER(E6), 0, 1)</f>
        <v>0</v>
      </c>
      <c r="I6">
        <f t="shared" si="0"/>
        <v>1</v>
      </c>
      <c r="J6">
        <f t="shared" si="1"/>
        <v>0</v>
      </c>
      <c r="K6">
        <f t="shared" si="2"/>
        <v>0</v>
      </c>
    </row>
    <row r="7" spans="1:14" ht="43.15">
      <c r="A7" s="1" t="s">
        <v>25</v>
      </c>
      <c r="B7" s="1" t="s">
        <v>27</v>
      </c>
      <c r="C7" t="s">
        <v>12</v>
      </c>
      <c r="E7" s="1" t="s">
        <v>16</v>
      </c>
      <c r="H7">
        <f t="shared" si="3"/>
        <v>0</v>
      </c>
      <c r="I7">
        <f t="shared" si="0"/>
        <v>1</v>
      </c>
      <c r="J7">
        <f t="shared" si="1"/>
        <v>0</v>
      </c>
      <c r="K7">
        <f t="shared" si="2"/>
        <v>0</v>
      </c>
    </row>
    <row r="8" spans="1:14" ht="43.15">
      <c r="A8" s="1" t="s">
        <v>25</v>
      </c>
      <c r="B8" s="1" t="s">
        <v>28</v>
      </c>
      <c r="C8" t="s">
        <v>12</v>
      </c>
      <c r="E8" s="1" t="s">
        <v>16</v>
      </c>
      <c r="H8">
        <f t="shared" si="3"/>
        <v>0</v>
      </c>
      <c r="I8">
        <f t="shared" si="0"/>
        <v>1</v>
      </c>
      <c r="J8">
        <f t="shared" si="1"/>
        <v>0</v>
      </c>
      <c r="K8">
        <f t="shared" si="2"/>
        <v>0</v>
      </c>
    </row>
    <row r="9" spans="1:14" ht="43.15">
      <c r="A9" s="1" t="s">
        <v>25</v>
      </c>
      <c r="B9" s="1" t="s">
        <v>29</v>
      </c>
      <c r="C9" t="s">
        <v>12</v>
      </c>
      <c r="E9" s="1" t="s">
        <v>16</v>
      </c>
      <c r="H9">
        <f t="shared" si="3"/>
        <v>0</v>
      </c>
      <c r="I9">
        <f t="shared" si="0"/>
        <v>1</v>
      </c>
      <c r="J9">
        <f t="shared" si="1"/>
        <v>0</v>
      </c>
      <c r="K9">
        <f t="shared" si="2"/>
        <v>0</v>
      </c>
    </row>
    <row r="10" spans="1:14" ht="28.9">
      <c r="A10" s="1" t="s">
        <v>30</v>
      </c>
      <c r="B10" s="1" t="s">
        <v>31</v>
      </c>
      <c r="C10" t="s">
        <v>12</v>
      </c>
      <c r="E10" s="1" t="s">
        <v>16</v>
      </c>
      <c r="H10">
        <f t="shared" si="3"/>
        <v>0</v>
      </c>
      <c r="I10">
        <f t="shared" si="0"/>
        <v>1</v>
      </c>
      <c r="J10">
        <f t="shared" si="1"/>
        <v>0</v>
      </c>
      <c r="K10">
        <f t="shared" si="2"/>
        <v>0</v>
      </c>
    </row>
    <row r="11" spans="1:14" ht="28.9">
      <c r="A11" s="1" t="s">
        <v>30</v>
      </c>
      <c r="B11" s="1" t="s">
        <v>32</v>
      </c>
      <c r="C11" t="s">
        <v>12</v>
      </c>
      <c r="E11" s="1" t="s">
        <v>13</v>
      </c>
      <c r="F11" t="s">
        <v>33</v>
      </c>
      <c r="G11" t="s">
        <v>34</v>
      </c>
      <c r="H11">
        <f t="shared" si="3"/>
        <v>1</v>
      </c>
      <c r="I11">
        <f t="shared" si="0"/>
        <v>0</v>
      </c>
      <c r="J11">
        <f t="shared" si="1"/>
        <v>1</v>
      </c>
      <c r="K11">
        <f t="shared" si="2"/>
        <v>0</v>
      </c>
    </row>
    <row r="12" spans="1:14" ht="28.9">
      <c r="A12" s="1" t="s">
        <v>35</v>
      </c>
      <c r="B12" s="1" t="s">
        <v>36</v>
      </c>
      <c r="C12" t="s">
        <v>12</v>
      </c>
      <c r="E12" s="1" t="s">
        <v>16</v>
      </c>
      <c r="H12">
        <f t="shared" si="3"/>
        <v>0</v>
      </c>
      <c r="I12">
        <f t="shared" si="0"/>
        <v>1</v>
      </c>
      <c r="J12">
        <f t="shared" si="1"/>
        <v>0</v>
      </c>
      <c r="K12">
        <f t="shared" si="2"/>
        <v>0</v>
      </c>
    </row>
    <row r="13" spans="1:14" ht="28.9">
      <c r="A13" s="1" t="s">
        <v>35</v>
      </c>
      <c r="B13" s="1" t="s">
        <v>37</v>
      </c>
      <c r="C13" t="s">
        <v>12</v>
      </c>
      <c r="E13" s="1" t="s">
        <v>13</v>
      </c>
      <c r="H13">
        <f t="shared" si="3"/>
        <v>1</v>
      </c>
      <c r="I13">
        <f t="shared" si="0"/>
        <v>0</v>
      </c>
      <c r="J13">
        <f t="shared" si="1"/>
        <v>1</v>
      </c>
      <c r="K13">
        <f t="shared" si="2"/>
        <v>0</v>
      </c>
    </row>
    <row r="14" spans="1:14" ht="28.9">
      <c r="A14" s="1" t="s">
        <v>35</v>
      </c>
      <c r="B14" s="1" t="s">
        <v>38</v>
      </c>
      <c r="C14" t="s">
        <v>12</v>
      </c>
      <c r="E14" s="1" t="s">
        <v>13</v>
      </c>
      <c r="H14">
        <f t="shared" si="3"/>
        <v>1</v>
      </c>
      <c r="I14">
        <f t="shared" si="0"/>
        <v>0</v>
      </c>
      <c r="J14">
        <f t="shared" si="1"/>
        <v>1</v>
      </c>
      <c r="K14">
        <f t="shared" si="2"/>
        <v>0</v>
      </c>
    </row>
    <row r="15" spans="1:14" ht="28.9">
      <c r="A15" s="1" t="s">
        <v>35</v>
      </c>
      <c r="B15" s="1" t="s">
        <v>39</v>
      </c>
      <c r="C15" t="s">
        <v>12</v>
      </c>
      <c r="E15" s="1" t="s">
        <v>13</v>
      </c>
      <c r="H15">
        <f t="shared" si="3"/>
        <v>1</v>
      </c>
      <c r="I15">
        <f t="shared" si="0"/>
        <v>0</v>
      </c>
      <c r="J15">
        <f t="shared" si="1"/>
        <v>1</v>
      </c>
      <c r="K15">
        <f t="shared" si="2"/>
        <v>0</v>
      </c>
    </row>
    <row r="16" spans="1:14">
      <c r="A16" s="1" t="s">
        <v>40</v>
      </c>
      <c r="B16" s="1" t="s">
        <v>36</v>
      </c>
      <c r="C16" t="s">
        <v>12</v>
      </c>
      <c r="E16" s="1" t="s">
        <v>16</v>
      </c>
      <c r="F16" t="s">
        <v>41</v>
      </c>
      <c r="G16" t="s">
        <v>42</v>
      </c>
      <c r="H16">
        <f t="shared" si="3"/>
        <v>0</v>
      </c>
      <c r="I16">
        <f t="shared" si="0"/>
        <v>1</v>
      </c>
      <c r="J16">
        <f t="shared" si="1"/>
        <v>0</v>
      </c>
      <c r="K16">
        <f t="shared" si="2"/>
        <v>0</v>
      </c>
    </row>
    <row r="17" spans="1:11" ht="43.15">
      <c r="A17" s="1" t="s">
        <v>43</v>
      </c>
      <c r="B17" s="1" t="s">
        <v>27</v>
      </c>
      <c r="C17" t="s">
        <v>20</v>
      </c>
      <c r="E17" s="1" t="s">
        <v>13</v>
      </c>
      <c r="F17" t="s">
        <v>44</v>
      </c>
      <c r="G17" t="s">
        <v>34</v>
      </c>
      <c r="H17">
        <f t="shared" si="3"/>
        <v>1</v>
      </c>
      <c r="I17">
        <f t="shared" si="0"/>
        <v>0</v>
      </c>
      <c r="J17">
        <f t="shared" si="1"/>
        <v>0</v>
      </c>
      <c r="K17">
        <f t="shared" si="2"/>
        <v>0</v>
      </c>
    </row>
    <row r="18" spans="1:11" ht="43.15">
      <c r="A18" s="1" t="s">
        <v>43</v>
      </c>
      <c r="B18" s="1" t="s">
        <v>45</v>
      </c>
      <c r="C18" t="s">
        <v>20</v>
      </c>
      <c r="E18" s="1" t="s">
        <v>21</v>
      </c>
      <c r="H18">
        <f t="shared" si="3"/>
        <v>0</v>
      </c>
      <c r="I18">
        <f t="shared" si="0"/>
        <v>0</v>
      </c>
      <c r="J18">
        <f t="shared" si="1"/>
        <v>0</v>
      </c>
      <c r="K18">
        <f t="shared" si="2"/>
        <v>0</v>
      </c>
    </row>
    <row r="19" spans="1:11" ht="43.15">
      <c r="A19" s="1" t="s">
        <v>43</v>
      </c>
      <c r="B19" s="1" t="s">
        <v>46</v>
      </c>
      <c r="C19" t="s">
        <v>20</v>
      </c>
      <c r="E19" s="1" t="s">
        <v>21</v>
      </c>
      <c r="H19">
        <f t="shared" si="3"/>
        <v>0</v>
      </c>
      <c r="I19">
        <f t="shared" si="0"/>
        <v>0</v>
      </c>
      <c r="J19">
        <f t="shared" si="1"/>
        <v>0</v>
      </c>
      <c r="K19">
        <f t="shared" si="2"/>
        <v>0</v>
      </c>
    </row>
    <row r="20" spans="1:11" ht="43.15">
      <c r="A20" s="1" t="s">
        <v>43</v>
      </c>
      <c r="B20" s="1" t="s">
        <v>47</v>
      </c>
      <c r="C20" t="s">
        <v>20</v>
      </c>
      <c r="E20" s="1" t="s">
        <v>21</v>
      </c>
      <c r="H20">
        <f t="shared" si="3"/>
        <v>0</v>
      </c>
      <c r="I20">
        <f t="shared" si="0"/>
        <v>0</v>
      </c>
      <c r="J20">
        <f t="shared" si="1"/>
        <v>0</v>
      </c>
      <c r="K20">
        <f t="shared" si="2"/>
        <v>0</v>
      </c>
    </row>
    <row r="21" spans="1:11" ht="28.9">
      <c r="A21" s="1" t="s">
        <v>48</v>
      </c>
      <c r="B21" s="1" t="s">
        <v>49</v>
      </c>
      <c r="C21" t="s">
        <v>20</v>
      </c>
      <c r="E21" s="1" t="s">
        <v>13</v>
      </c>
      <c r="H21">
        <f t="shared" si="3"/>
        <v>1</v>
      </c>
      <c r="I21">
        <f t="shared" si="0"/>
        <v>0</v>
      </c>
      <c r="J21">
        <f t="shared" si="1"/>
        <v>0</v>
      </c>
      <c r="K21">
        <f t="shared" si="2"/>
        <v>0</v>
      </c>
    </row>
    <row r="22" spans="1:11" ht="28.9">
      <c r="A22" s="1" t="s">
        <v>48</v>
      </c>
      <c r="B22" s="1" t="s">
        <v>50</v>
      </c>
      <c r="C22" t="s">
        <v>20</v>
      </c>
      <c r="E22" s="1" t="s">
        <v>13</v>
      </c>
      <c r="H22">
        <f t="shared" si="3"/>
        <v>1</v>
      </c>
      <c r="I22">
        <f t="shared" si="0"/>
        <v>0</v>
      </c>
      <c r="J22">
        <f t="shared" si="1"/>
        <v>0</v>
      </c>
      <c r="K22">
        <f t="shared" si="2"/>
        <v>0</v>
      </c>
    </row>
    <row r="23" spans="1:11" ht="57.6">
      <c r="A23" s="1" t="s">
        <v>51</v>
      </c>
      <c r="B23" s="1" t="s">
        <v>52</v>
      </c>
      <c r="C23" t="s">
        <v>20</v>
      </c>
      <c r="E23" s="1" t="s">
        <v>16</v>
      </c>
      <c r="H23">
        <f t="shared" si="3"/>
        <v>1</v>
      </c>
      <c r="I23">
        <f t="shared" si="0"/>
        <v>0</v>
      </c>
      <c r="J23">
        <f t="shared" si="1"/>
        <v>0</v>
      </c>
      <c r="K23">
        <f t="shared" si="2"/>
        <v>1</v>
      </c>
    </row>
    <row r="24" spans="1:11" ht="43.15">
      <c r="A24" s="1" t="s">
        <v>53</v>
      </c>
      <c r="B24" s="1" t="s">
        <v>54</v>
      </c>
      <c r="C24" t="s">
        <v>12</v>
      </c>
      <c r="E24" s="1" t="s">
        <v>16</v>
      </c>
      <c r="H24">
        <f t="shared" si="3"/>
        <v>0</v>
      </c>
      <c r="I24">
        <f t="shared" si="0"/>
        <v>1</v>
      </c>
      <c r="J24">
        <f t="shared" si="1"/>
        <v>0</v>
      </c>
      <c r="K24">
        <f t="shared" si="2"/>
        <v>0</v>
      </c>
    </row>
    <row r="25" spans="1:11" ht="43.15">
      <c r="A25" s="1" t="s">
        <v>53</v>
      </c>
      <c r="B25" s="1" t="s">
        <v>55</v>
      </c>
      <c r="C25" t="s">
        <v>12</v>
      </c>
      <c r="E25" s="1" t="s">
        <v>16</v>
      </c>
      <c r="H25">
        <f t="shared" si="3"/>
        <v>0</v>
      </c>
      <c r="I25">
        <f t="shared" si="0"/>
        <v>1</v>
      </c>
      <c r="J25">
        <f t="shared" si="1"/>
        <v>0</v>
      </c>
      <c r="K25">
        <f t="shared" si="2"/>
        <v>0</v>
      </c>
    </row>
    <row r="26" spans="1:11" ht="43.15">
      <c r="A26" s="1" t="s">
        <v>53</v>
      </c>
      <c r="B26" s="1" t="s">
        <v>56</v>
      </c>
      <c r="C26" t="s">
        <v>12</v>
      </c>
      <c r="E26" s="1" t="s">
        <v>21</v>
      </c>
      <c r="H26">
        <f t="shared" si="3"/>
        <v>1</v>
      </c>
      <c r="I26">
        <f t="shared" si="0"/>
        <v>0</v>
      </c>
      <c r="J26">
        <f t="shared" si="1"/>
        <v>1</v>
      </c>
      <c r="K26">
        <f t="shared" si="2"/>
        <v>0</v>
      </c>
    </row>
    <row r="27" spans="1:11" ht="28.9">
      <c r="A27" s="1" t="s">
        <v>57</v>
      </c>
      <c r="B27" s="1" t="s">
        <v>58</v>
      </c>
      <c r="C27" t="s">
        <v>12</v>
      </c>
      <c r="E27" s="1" t="s">
        <v>16</v>
      </c>
      <c r="H27">
        <f t="shared" si="3"/>
        <v>0</v>
      </c>
      <c r="I27">
        <f t="shared" si="0"/>
        <v>1</v>
      </c>
      <c r="J27">
        <f t="shared" si="1"/>
        <v>0</v>
      </c>
      <c r="K27">
        <f t="shared" si="2"/>
        <v>0</v>
      </c>
    </row>
    <row r="28" spans="1:11">
      <c r="A28" s="1" t="s">
        <v>59</v>
      </c>
      <c r="B28" s="1" t="s">
        <v>60</v>
      </c>
      <c r="C28" t="s">
        <v>12</v>
      </c>
      <c r="E28" s="1" t="s">
        <v>16</v>
      </c>
      <c r="H28">
        <f t="shared" si="3"/>
        <v>0</v>
      </c>
      <c r="I28">
        <f t="shared" si="0"/>
        <v>1</v>
      </c>
      <c r="J28">
        <f t="shared" si="1"/>
        <v>0</v>
      </c>
      <c r="K28">
        <f t="shared" si="2"/>
        <v>0</v>
      </c>
    </row>
    <row r="29" spans="1:11" ht="28.9">
      <c r="A29" s="1" t="s">
        <v>61</v>
      </c>
      <c r="B29" s="1" t="s">
        <v>62</v>
      </c>
      <c r="C29" t="s">
        <v>12</v>
      </c>
      <c r="E29" s="1" t="s">
        <v>16</v>
      </c>
      <c r="H29">
        <f t="shared" si="3"/>
        <v>0</v>
      </c>
      <c r="I29">
        <f t="shared" si="0"/>
        <v>1</v>
      </c>
      <c r="J29">
        <f t="shared" si="1"/>
        <v>0</v>
      </c>
      <c r="K29">
        <f t="shared" si="2"/>
        <v>0</v>
      </c>
    </row>
    <row r="30" spans="1:11" ht="28.9">
      <c r="A30" s="1" t="s">
        <v>63</v>
      </c>
      <c r="B30" s="1" t="s">
        <v>64</v>
      </c>
      <c r="C30" t="s">
        <v>20</v>
      </c>
      <c r="E30" s="1" t="s">
        <v>21</v>
      </c>
      <c r="H30">
        <f t="shared" si="3"/>
        <v>0</v>
      </c>
      <c r="I30">
        <f t="shared" si="0"/>
        <v>0</v>
      </c>
      <c r="J30">
        <f t="shared" si="1"/>
        <v>0</v>
      </c>
      <c r="K30">
        <f t="shared" si="2"/>
        <v>0</v>
      </c>
    </row>
    <row r="31" spans="1:11" ht="43.15">
      <c r="A31" s="1" t="s">
        <v>65</v>
      </c>
      <c r="B31" s="1" t="s">
        <v>66</v>
      </c>
      <c r="C31" t="s">
        <v>20</v>
      </c>
      <c r="E31" s="1" t="s">
        <v>21</v>
      </c>
      <c r="H31">
        <f t="shared" si="3"/>
        <v>0</v>
      </c>
      <c r="I31">
        <f t="shared" si="0"/>
        <v>0</v>
      </c>
      <c r="J31">
        <f t="shared" si="1"/>
        <v>0</v>
      </c>
      <c r="K31">
        <f t="shared" si="2"/>
        <v>0</v>
      </c>
    </row>
    <row r="32" spans="1:11" ht="43.15">
      <c r="A32" s="1" t="s">
        <v>67</v>
      </c>
      <c r="B32" s="1" t="s">
        <v>68</v>
      </c>
      <c r="C32" t="s">
        <v>20</v>
      </c>
      <c r="E32" s="1" t="s">
        <v>21</v>
      </c>
      <c r="H32">
        <f t="shared" si="3"/>
        <v>0</v>
      </c>
      <c r="I32">
        <f t="shared" si="0"/>
        <v>0</v>
      </c>
      <c r="J32">
        <f t="shared" si="1"/>
        <v>0</v>
      </c>
      <c r="K32">
        <f t="shared" si="2"/>
        <v>0</v>
      </c>
    </row>
    <row r="33" spans="1:11" ht="28.9">
      <c r="A33" s="1" t="s">
        <v>69</v>
      </c>
      <c r="B33" s="1" t="s">
        <v>70</v>
      </c>
      <c r="C33" t="s">
        <v>12</v>
      </c>
      <c r="E33" s="1" t="s">
        <v>16</v>
      </c>
      <c r="F33" t="s">
        <v>71</v>
      </c>
      <c r="G33" t="s">
        <v>42</v>
      </c>
      <c r="H33">
        <f t="shared" si="3"/>
        <v>0</v>
      </c>
      <c r="I33">
        <f t="shared" si="0"/>
        <v>1</v>
      </c>
      <c r="J33">
        <f t="shared" si="1"/>
        <v>0</v>
      </c>
      <c r="K33">
        <f t="shared" si="2"/>
        <v>0</v>
      </c>
    </row>
    <row r="34" spans="1:11" ht="28.9">
      <c r="A34" s="1" t="s">
        <v>69</v>
      </c>
      <c r="B34" s="1" t="s">
        <v>72</v>
      </c>
      <c r="C34" t="s">
        <v>12</v>
      </c>
      <c r="E34" s="1" t="s">
        <v>16</v>
      </c>
      <c r="H34">
        <f t="shared" si="3"/>
        <v>0</v>
      </c>
      <c r="I34">
        <f t="shared" si="0"/>
        <v>1</v>
      </c>
      <c r="J34">
        <f t="shared" si="1"/>
        <v>0</v>
      </c>
      <c r="K34">
        <f t="shared" si="2"/>
        <v>0</v>
      </c>
    </row>
    <row r="35" spans="1:11" ht="28.9">
      <c r="A35" s="1" t="s">
        <v>73</v>
      </c>
      <c r="B35" s="1" t="s">
        <v>74</v>
      </c>
      <c r="C35" t="s">
        <v>12</v>
      </c>
      <c r="E35" s="1" t="s">
        <v>16</v>
      </c>
      <c r="H35">
        <f t="shared" si="3"/>
        <v>0</v>
      </c>
      <c r="I35">
        <f t="shared" si="0"/>
        <v>1</v>
      </c>
      <c r="J35">
        <f t="shared" si="1"/>
        <v>0</v>
      </c>
      <c r="K35">
        <f t="shared" si="2"/>
        <v>0</v>
      </c>
    </row>
    <row r="36" spans="1:11" ht="28.9">
      <c r="A36" s="1" t="s">
        <v>73</v>
      </c>
      <c r="B36" s="1" t="s">
        <v>45</v>
      </c>
      <c r="C36" t="s">
        <v>12</v>
      </c>
      <c r="E36" s="1" t="s">
        <v>13</v>
      </c>
      <c r="H36">
        <f t="shared" si="3"/>
        <v>1</v>
      </c>
      <c r="I36">
        <f t="shared" si="0"/>
        <v>0</v>
      </c>
      <c r="J36">
        <f t="shared" si="1"/>
        <v>1</v>
      </c>
      <c r="K36">
        <f t="shared" si="2"/>
        <v>0</v>
      </c>
    </row>
    <row r="37" spans="1:11" ht="28.9">
      <c r="A37" s="1" t="s">
        <v>75</v>
      </c>
      <c r="B37" s="1" t="s">
        <v>76</v>
      </c>
      <c r="C37" t="s">
        <v>20</v>
      </c>
      <c r="E37" s="1" t="s">
        <v>21</v>
      </c>
      <c r="F37" t="s">
        <v>77</v>
      </c>
      <c r="G37" t="s">
        <v>34</v>
      </c>
      <c r="H37">
        <f t="shared" si="3"/>
        <v>0</v>
      </c>
      <c r="I37">
        <f t="shared" si="0"/>
        <v>0</v>
      </c>
      <c r="J37">
        <f t="shared" si="1"/>
        <v>0</v>
      </c>
      <c r="K37">
        <f t="shared" si="2"/>
        <v>0</v>
      </c>
    </row>
    <row r="38" spans="1:11" ht="28.9">
      <c r="A38" s="1" t="s">
        <v>78</v>
      </c>
      <c r="B38" s="1" t="s">
        <v>79</v>
      </c>
      <c r="C38" t="s">
        <v>20</v>
      </c>
      <c r="E38" s="1" t="s">
        <v>21</v>
      </c>
      <c r="H38">
        <f t="shared" si="3"/>
        <v>0</v>
      </c>
      <c r="I38">
        <f t="shared" si="0"/>
        <v>0</v>
      </c>
      <c r="J38">
        <f t="shared" si="1"/>
        <v>0</v>
      </c>
      <c r="K38">
        <f t="shared" si="2"/>
        <v>0</v>
      </c>
    </row>
    <row r="39" spans="1:11" ht="28.9">
      <c r="A39" s="1" t="s">
        <v>78</v>
      </c>
      <c r="B39" s="1" t="s">
        <v>80</v>
      </c>
      <c r="C39" t="s">
        <v>20</v>
      </c>
      <c r="E39" s="1" t="s">
        <v>21</v>
      </c>
      <c r="H39">
        <f t="shared" si="3"/>
        <v>0</v>
      </c>
      <c r="I39">
        <f t="shared" si="0"/>
        <v>0</v>
      </c>
      <c r="J39">
        <f t="shared" si="1"/>
        <v>0</v>
      </c>
      <c r="K39">
        <f t="shared" si="2"/>
        <v>0</v>
      </c>
    </row>
    <row r="40" spans="1:11" ht="28.9">
      <c r="A40" s="1" t="s">
        <v>81</v>
      </c>
      <c r="B40" s="1" t="s">
        <v>50</v>
      </c>
      <c r="C40" t="s">
        <v>20</v>
      </c>
      <c r="E40" s="1" t="s">
        <v>16</v>
      </c>
      <c r="H40">
        <f t="shared" si="3"/>
        <v>1</v>
      </c>
      <c r="I40">
        <f t="shared" si="0"/>
        <v>0</v>
      </c>
      <c r="J40">
        <f t="shared" si="1"/>
        <v>0</v>
      </c>
      <c r="K40">
        <f t="shared" si="2"/>
        <v>1</v>
      </c>
    </row>
    <row r="41" spans="1:11" ht="28.9">
      <c r="A41" s="1" t="s">
        <v>82</v>
      </c>
      <c r="B41" s="1" t="s">
        <v>83</v>
      </c>
      <c r="C41" t="s">
        <v>12</v>
      </c>
      <c r="E41" s="1" t="s">
        <v>16</v>
      </c>
      <c r="H41">
        <f t="shared" si="3"/>
        <v>0</v>
      </c>
      <c r="I41">
        <f t="shared" si="0"/>
        <v>1</v>
      </c>
      <c r="J41">
        <f t="shared" si="1"/>
        <v>0</v>
      </c>
      <c r="K41">
        <f t="shared" si="2"/>
        <v>0</v>
      </c>
    </row>
    <row r="42" spans="1:11" ht="43.15">
      <c r="A42" s="1" t="s">
        <v>82</v>
      </c>
      <c r="B42" s="1" t="s">
        <v>84</v>
      </c>
      <c r="C42" t="s">
        <v>12</v>
      </c>
      <c r="E42" s="1" t="s">
        <v>16</v>
      </c>
      <c r="H42">
        <f t="shared" si="3"/>
        <v>0</v>
      </c>
      <c r="I42">
        <f t="shared" si="0"/>
        <v>1</v>
      </c>
      <c r="J42">
        <f t="shared" si="1"/>
        <v>0</v>
      </c>
      <c r="K42">
        <f t="shared" si="2"/>
        <v>0</v>
      </c>
    </row>
    <row r="43" spans="1:11" ht="28.9">
      <c r="A43" s="1" t="s">
        <v>85</v>
      </c>
      <c r="B43" s="1" t="s">
        <v>86</v>
      </c>
      <c r="C43" t="s">
        <v>12</v>
      </c>
      <c r="E43" s="1" t="s">
        <v>16</v>
      </c>
      <c r="H43">
        <f t="shared" si="3"/>
        <v>0</v>
      </c>
      <c r="I43">
        <f t="shared" si="0"/>
        <v>1</v>
      </c>
      <c r="J43">
        <f t="shared" si="1"/>
        <v>0</v>
      </c>
      <c r="K43">
        <f t="shared" si="2"/>
        <v>0</v>
      </c>
    </row>
    <row r="44" spans="1:11" ht="28.9">
      <c r="A44" s="1" t="s">
        <v>85</v>
      </c>
      <c r="B44" s="1" t="s">
        <v>36</v>
      </c>
      <c r="C44" t="s">
        <v>12</v>
      </c>
      <c r="E44" s="1" t="s">
        <v>16</v>
      </c>
      <c r="H44">
        <f t="shared" si="3"/>
        <v>0</v>
      </c>
      <c r="I44">
        <f t="shared" si="0"/>
        <v>1</v>
      </c>
      <c r="J44">
        <f t="shared" si="1"/>
        <v>0</v>
      </c>
      <c r="K44">
        <f t="shared" si="2"/>
        <v>0</v>
      </c>
    </row>
    <row r="45" spans="1:11" ht="28.9">
      <c r="A45" s="1" t="s">
        <v>87</v>
      </c>
      <c r="B45" s="1" t="s">
        <v>88</v>
      </c>
      <c r="C45" t="s">
        <v>20</v>
      </c>
      <c r="E45" s="1" t="s">
        <v>13</v>
      </c>
      <c r="H45">
        <f t="shared" si="3"/>
        <v>1</v>
      </c>
      <c r="I45">
        <f t="shared" si="0"/>
        <v>0</v>
      </c>
      <c r="J45">
        <f t="shared" si="1"/>
        <v>0</v>
      </c>
      <c r="K45">
        <f t="shared" si="2"/>
        <v>0</v>
      </c>
    </row>
    <row r="46" spans="1:11" ht="43.15">
      <c r="A46" s="1" t="s">
        <v>89</v>
      </c>
      <c r="B46" s="1" t="s">
        <v>90</v>
      </c>
      <c r="C46" t="s">
        <v>20</v>
      </c>
      <c r="E46" s="1" t="s">
        <v>21</v>
      </c>
      <c r="H46">
        <f t="shared" si="3"/>
        <v>0</v>
      </c>
      <c r="I46">
        <f t="shared" si="0"/>
        <v>0</v>
      </c>
      <c r="J46">
        <f t="shared" si="1"/>
        <v>0</v>
      </c>
      <c r="K46">
        <f t="shared" si="2"/>
        <v>0</v>
      </c>
    </row>
    <row r="47" spans="1:11">
      <c r="A47" s="1" t="s">
        <v>91</v>
      </c>
      <c r="B47" s="1" t="s">
        <v>92</v>
      </c>
      <c r="C47" t="s">
        <v>20</v>
      </c>
      <c r="E47" s="1" t="s">
        <v>21</v>
      </c>
      <c r="H47">
        <f t="shared" si="3"/>
        <v>0</v>
      </c>
      <c r="I47">
        <f t="shared" si="0"/>
        <v>0</v>
      </c>
      <c r="J47">
        <f t="shared" si="1"/>
        <v>0</v>
      </c>
      <c r="K47">
        <f t="shared" si="2"/>
        <v>0</v>
      </c>
    </row>
    <row r="48" spans="1:11" ht="28.9">
      <c r="A48" s="1" t="s">
        <v>93</v>
      </c>
      <c r="B48" s="1" t="s">
        <v>94</v>
      </c>
      <c r="C48" t="s">
        <v>12</v>
      </c>
      <c r="E48" s="1" t="s">
        <v>13</v>
      </c>
      <c r="H48">
        <f t="shared" si="3"/>
        <v>1</v>
      </c>
      <c r="I48">
        <f t="shared" si="0"/>
        <v>0</v>
      </c>
      <c r="J48">
        <f t="shared" si="1"/>
        <v>1</v>
      </c>
      <c r="K48">
        <f t="shared" si="2"/>
        <v>0</v>
      </c>
    </row>
    <row r="49" spans="1:11" ht="28.9">
      <c r="A49" s="1" t="s">
        <v>95</v>
      </c>
      <c r="B49" s="1" t="s">
        <v>36</v>
      </c>
      <c r="C49" t="s">
        <v>12</v>
      </c>
      <c r="E49" s="1" t="s">
        <v>16</v>
      </c>
      <c r="H49">
        <f t="shared" si="3"/>
        <v>0</v>
      </c>
      <c r="I49">
        <f t="shared" si="0"/>
        <v>1</v>
      </c>
      <c r="J49">
        <f t="shared" si="1"/>
        <v>0</v>
      </c>
      <c r="K49">
        <f t="shared" si="2"/>
        <v>0</v>
      </c>
    </row>
    <row r="50" spans="1:11">
      <c r="A50" s="1" t="s">
        <v>96</v>
      </c>
      <c r="B50" s="1" t="s">
        <v>97</v>
      </c>
      <c r="C50" t="s">
        <v>20</v>
      </c>
      <c r="E50" s="1" t="s">
        <v>13</v>
      </c>
      <c r="H50">
        <f t="shared" si="3"/>
        <v>1</v>
      </c>
      <c r="I50">
        <f t="shared" si="0"/>
        <v>0</v>
      </c>
      <c r="J50">
        <f t="shared" si="1"/>
        <v>0</v>
      </c>
      <c r="K50">
        <f t="shared" si="2"/>
        <v>0</v>
      </c>
    </row>
    <row r="51" spans="1:11" ht="57.6">
      <c r="A51" s="1" t="s">
        <v>98</v>
      </c>
      <c r="B51" s="1" t="s">
        <v>99</v>
      </c>
      <c r="C51" t="s">
        <v>20</v>
      </c>
      <c r="E51" s="1" t="s">
        <v>13</v>
      </c>
      <c r="H51">
        <f t="shared" si="3"/>
        <v>1</v>
      </c>
      <c r="I51">
        <f t="shared" si="0"/>
        <v>0</v>
      </c>
      <c r="J51">
        <f t="shared" si="1"/>
        <v>0</v>
      </c>
      <c r="K51">
        <f t="shared" si="2"/>
        <v>0</v>
      </c>
    </row>
    <row r="52" spans="1:11" ht="57.6">
      <c r="A52" s="1" t="s">
        <v>98</v>
      </c>
      <c r="B52" s="1" t="s">
        <v>94</v>
      </c>
      <c r="C52" t="s">
        <v>20</v>
      </c>
      <c r="E52" s="1" t="s">
        <v>13</v>
      </c>
      <c r="H52">
        <f t="shared" si="3"/>
        <v>1</v>
      </c>
      <c r="I52">
        <f t="shared" si="0"/>
        <v>0</v>
      </c>
      <c r="J52">
        <f t="shared" si="1"/>
        <v>0</v>
      </c>
      <c r="K52">
        <f t="shared" si="2"/>
        <v>0</v>
      </c>
    </row>
    <row r="53" spans="1:11" ht="57.6">
      <c r="A53" s="1" t="s">
        <v>98</v>
      </c>
      <c r="B53" s="1" t="s">
        <v>100</v>
      </c>
      <c r="C53" t="s">
        <v>20</v>
      </c>
      <c r="E53" s="1" t="s">
        <v>13</v>
      </c>
      <c r="H53">
        <f t="shared" si="3"/>
        <v>1</v>
      </c>
      <c r="I53">
        <f t="shared" si="0"/>
        <v>0</v>
      </c>
      <c r="J53">
        <f t="shared" si="1"/>
        <v>0</v>
      </c>
      <c r="K53">
        <f t="shared" si="2"/>
        <v>0</v>
      </c>
    </row>
    <row r="54" spans="1:11" ht="43.15">
      <c r="A54" s="1" t="s">
        <v>101</v>
      </c>
      <c r="B54" s="1" t="s">
        <v>102</v>
      </c>
      <c r="C54" t="s">
        <v>20</v>
      </c>
      <c r="E54" s="1" t="s">
        <v>21</v>
      </c>
      <c r="H54">
        <f t="shared" si="3"/>
        <v>0</v>
      </c>
      <c r="I54">
        <f t="shared" si="0"/>
        <v>0</v>
      </c>
      <c r="J54">
        <f t="shared" si="1"/>
        <v>0</v>
      </c>
      <c r="K54">
        <f t="shared" si="2"/>
        <v>0</v>
      </c>
    </row>
    <row r="55" spans="1:11" ht="43.15">
      <c r="A55" s="1" t="s">
        <v>101</v>
      </c>
      <c r="B55" s="1" t="s">
        <v>103</v>
      </c>
      <c r="C55" t="s">
        <v>20</v>
      </c>
      <c r="E55" s="1" t="s">
        <v>13</v>
      </c>
      <c r="H55">
        <f t="shared" si="3"/>
        <v>1</v>
      </c>
      <c r="I55">
        <f t="shared" si="0"/>
        <v>0</v>
      </c>
      <c r="J55">
        <f t="shared" si="1"/>
        <v>0</v>
      </c>
      <c r="K55">
        <f t="shared" si="2"/>
        <v>0</v>
      </c>
    </row>
    <row r="56" spans="1:11" ht="43.15">
      <c r="A56" s="1" t="s">
        <v>101</v>
      </c>
      <c r="B56" s="1" t="s">
        <v>104</v>
      </c>
      <c r="C56" t="s">
        <v>20</v>
      </c>
      <c r="E56" s="1" t="s">
        <v>13</v>
      </c>
      <c r="H56">
        <f t="shared" si="3"/>
        <v>1</v>
      </c>
      <c r="I56">
        <f t="shared" si="0"/>
        <v>0</v>
      </c>
      <c r="J56">
        <f t="shared" si="1"/>
        <v>0</v>
      </c>
      <c r="K56">
        <f t="shared" si="2"/>
        <v>0</v>
      </c>
    </row>
    <row r="57" spans="1:11" ht="43.15">
      <c r="A57" s="1" t="s">
        <v>101</v>
      </c>
      <c r="B57" s="1" t="s">
        <v>105</v>
      </c>
      <c r="C57" t="s">
        <v>20</v>
      </c>
      <c r="E57" s="1" t="s">
        <v>13</v>
      </c>
      <c r="H57">
        <f t="shared" si="3"/>
        <v>1</v>
      </c>
      <c r="I57">
        <f t="shared" si="0"/>
        <v>0</v>
      </c>
      <c r="J57">
        <f t="shared" si="1"/>
        <v>0</v>
      </c>
      <c r="K57">
        <f t="shared" si="2"/>
        <v>0</v>
      </c>
    </row>
    <row r="58" spans="1:11" ht="28.9">
      <c r="A58" s="1" t="s">
        <v>106</v>
      </c>
      <c r="B58" s="1" t="s">
        <v>107</v>
      </c>
      <c r="C58" t="s">
        <v>12</v>
      </c>
      <c r="E58" s="1" t="s">
        <v>13</v>
      </c>
      <c r="H58">
        <f t="shared" si="3"/>
        <v>1</v>
      </c>
      <c r="I58">
        <f t="shared" si="0"/>
        <v>0</v>
      </c>
      <c r="J58">
        <f t="shared" si="1"/>
        <v>1</v>
      </c>
      <c r="K58">
        <f t="shared" si="2"/>
        <v>0</v>
      </c>
    </row>
    <row r="59" spans="1:11" ht="28.9">
      <c r="A59" s="1" t="s">
        <v>106</v>
      </c>
      <c r="B59" s="1" t="s">
        <v>108</v>
      </c>
      <c r="C59" t="s">
        <v>20</v>
      </c>
      <c r="E59" s="1" t="s">
        <v>21</v>
      </c>
      <c r="H59">
        <f t="shared" si="3"/>
        <v>0</v>
      </c>
      <c r="I59">
        <f t="shared" si="0"/>
        <v>0</v>
      </c>
      <c r="J59">
        <f t="shared" si="1"/>
        <v>0</v>
      </c>
      <c r="K59">
        <f t="shared" si="2"/>
        <v>0</v>
      </c>
    </row>
    <row r="60" spans="1:11" ht="28.9">
      <c r="A60" s="1" t="s">
        <v>106</v>
      </c>
      <c r="B60" s="1" t="s">
        <v>66</v>
      </c>
      <c r="C60" t="s">
        <v>20</v>
      </c>
      <c r="E60" s="1" t="s">
        <v>13</v>
      </c>
      <c r="H60">
        <f t="shared" si="3"/>
        <v>1</v>
      </c>
      <c r="I60">
        <f t="shared" si="0"/>
        <v>0</v>
      </c>
      <c r="J60">
        <f t="shared" si="1"/>
        <v>0</v>
      </c>
      <c r="K60">
        <f t="shared" si="2"/>
        <v>0</v>
      </c>
    </row>
    <row r="61" spans="1:11" ht="28.9">
      <c r="A61" s="1" t="s">
        <v>109</v>
      </c>
      <c r="B61" s="1" t="s">
        <v>110</v>
      </c>
      <c r="C61" t="s">
        <v>20</v>
      </c>
      <c r="E61" s="1" t="s">
        <v>13</v>
      </c>
      <c r="H61">
        <f t="shared" si="3"/>
        <v>1</v>
      </c>
      <c r="I61">
        <f t="shared" si="0"/>
        <v>0</v>
      </c>
      <c r="J61">
        <f t="shared" si="1"/>
        <v>0</v>
      </c>
      <c r="K61">
        <f t="shared" si="2"/>
        <v>0</v>
      </c>
    </row>
    <row r="62" spans="1:11">
      <c r="A62" s="1" t="s">
        <v>111</v>
      </c>
      <c r="B62" s="1" t="s">
        <v>112</v>
      </c>
      <c r="C62" t="s">
        <v>20</v>
      </c>
      <c r="E62" s="1" t="s">
        <v>21</v>
      </c>
      <c r="H62">
        <f t="shared" si="3"/>
        <v>0</v>
      </c>
      <c r="I62">
        <f t="shared" si="0"/>
        <v>0</v>
      </c>
      <c r="J62">
        <f t="shared" si="1"/>
        <v>0</v>
      </c>
      <c r="K62">
        <f t="shared" si="2"/>
        <v>0</v>
      </c>
    </row>
    <row r="63" spans="1:11">
      <c r="A63" s="1" t="s">
        <v>113</v>
      </c>
      <c r="B63" s="1" t="s">
        <v>114</v>
      </c>
      <c r="C63" t="s">
        <v>20</v>
      </c>
      <c r="E63" s="1" t="s">
        <v>16</v>
      </c>
      <c r="H63">
        <f t="shared" si="3"/>
        <v>1</v>
      </c>
      <c r="I63">
        <f t="shared" si="0"/>
        <v>0</v>
      </c>
      <c r="J63">
        <f t="shared" si="1"/>
        <v>0</v>
      </c>
      <c r="K63">
        <f t="shared" si="2"/>
        <v>1</v>
      </c>
    </row>
    <row r="64" spans="1:11">
      <c r="A64" s="1" t="s">
        <v>115</v>
      </c>
      <c r="B64" s="1" t="s">
        <v>116</v>
      </c>
      <c r="C64" t="s">
        <v>24</v>
      </c>
      <c r="E64" s="1" t="s">
        <v>13</v>
      </c>
      <c r="F64" t="s">
        <v>117</v>
      </c>
      <c r="G64">
        <v>0</v>
      </c>
      <c r="H64">
        <f t="shared" si="3"/>
        <v>0</v>
      </c>
      <c r="I64">
        <f t="shared" si="0"/>
        <v>0</v>
      </c>
      <c r="J64">
        <f t="shared" si="1"/>
        <v>0</v>
      </c>
      <c r="K64">
        <f t="shared" si="2"/>
        <v>0</v>
      </c>
    </row>
    <row r="65" spans="1:11" ht="28.9">
      <c r="A65" s="1" t="s">
        <v>115</v>
      </c>
      <c r="B65" s="1" t="s">
        <v>118</v>
      </c>
      <c r="C65" t="s">
        <v>24</v>
      </c>
      <c r="E65" s="1" t="s">
        <v>13</v>
      </c>
      <c r="H65">
        <f t="shared" si="3"/>
        <v>0</v>
      </c>
      <c r="I65">
        <f t="shared" si="0"/>
        <v>0</v>
      </c>
      <c r="J65">
        <f t="shared" si="1"/>
        <v>0</v>
      </c>
      <c r="K65">
        <f t="shared" si="2"/>
        <v>0</v>
      </c>
    </row>
    <row r="66" spans="1:11">
      <c r="A66" s="1" t="s">
        <v>119</v>
      </c>
      <c r="F66" t="s">
        <v>120</v>
      </c>
      <c r="G66" t="s">
        <v>42</v>
      </c>
      <c r="H66">
        <f t="shared" si="3"/>
        <v>0</v>
      </c>
      <c r="I66">
        <f t="shared" si="0"/>
        <v>0</v>
      </c>
      <c r="J66">
        <f t="shared" si="1"/>
        <v>0</v>
      </c>
      <c r="K66">
        <f t="shared" si="2"/>
        <v>0</v>
      </c>
    </row>
    <row r="67" spans="1:11" ht="28.9">
      <c r="A67" s="1" t="s">
        <v>121</v>
      </c>
      <c r="E67" s="1" t="s">
        <v>13</v>
      </c>
      <c r="H67">
        <f t="shared" si="3"/>
        <v>1</v>
      </c>
      <c r="I67">
        <f t="shared" ref="I67:I130" si="4">IF(AND(LOWER(C67)="positive", LOWER(E67)="positive"), 1, 0)</f>
        <v>0</v>
      </c>
      <c r="J67">
        <f t="shared" ref="J67:J130" si="5">IF(AND(LOWER(C67)="positive", LOWER(E67)&lt;&gt;"positive"), 1, 0)</f>
        <v>0</v>
      </c>
      <c r="K67">
        <f t="shared" ref="K67:K130" si="6">IF(AND(LOWER(C67)&lt;&gt;"positive", LOWER(E67)="positive"), 1, 0)</f>
        <v>0</v>
      </c>
    </row>
    <row r="68" spans="1:11">
      <c r="A68" s="1" t="s">
        <v>122</v>
      </c>
      <c r="B68" s="1" t="s">
        <v>123</v>
      </c>
      <c r="C68" t="s">
        <v>20</v>
      </c>
      <c r="E68" s="1" t="s">
        <v>21</v>
      </c>
      <c r="H68">
        <f t="shared" si="3"/>
        <v>0</v>
      </c>
      <c r="I68">
        <f t="shared" si="4"/>
        <v>0</v>
      </c>
      <c r="J68">
        <f t="shared" si="5"/>
        <v>0</v>
      </c>
      <c r="K68">
        <f t="shared" si="6"/>
        <v>0</v>
      </c>
    </row>
    <row r="69" spans="1:11">
      <c r="A69" s="1" t="s">
        <v>122</v>
      </c>
      <c r="B69" s="1" t="s">
        <v>80</v>
      </c>
      <c r="C69" t="s">
        <v>20</v>
      </c>
      <c r="E69" s="1" t="s">
        <v>21</v>
      </c>
      <c r="H69">
        <f t="shared" si="3"/>
        <v>0</v>
      </c>
      <c r="I69">
        <f t="shared" si="4"/>
        <v>0</v>
      </c>
      <c r="J69">
        <f t="shared" si="5"/>
        <v>0</v>
      </c>
      <c r="K69">
        <f t="shared" si="6"/>
        <v>0</v>
      </c>
    </row>
    <row r="70" spans="1:11" ht="43.15">
      <c r="A70" s="1" t="s">
        <v>124</v>
      </c>
      <c r="B70" s="1" t="s">
        <v>125</v>
      </c>
      <c r="C70" t="s">
        <v>20</v>
      </c>
      <c r="E70" s="1" t="s">
        <v>16</v>
      </c>
      <c r="H70">
        <f t="shared" ref="H70:H133" si="7">IF(LOWER(C70)=LOWER(E70), 0, 1)</f>
        <v>1</v>
      </c>
      <c r="I70">
        <f t="shared" si="4"/>
        <v>0</v>
      </c>
      <c r="J70">
        <f t="shared" si="5"/>
        <v>0</v>
      </c>
      <c r="K70">
        <f t="shared" si="6"/>
        <v>1</v>
      </c>
    </row>
    <row r="71" spans="1:11">
      <c r="A71" s="1" t="s">
        <v>126</v>
      </c>
      <c r="B71" s="1" t="s">
        <v>127</v>
      </c>
      <c r="C71" t="s">
        <v>12</v>
      </c>
      <c r="E71" s="1" t="s">
        <v>16</v>
      </c>
      <c r="H71">
        <f t="shared" si="7"/>
        <v>0</v>
      </c>
      <c r="I71">
        <f t="shared" si="4"/>
        <v>1</v>
      </c>
      <c r="J71">
        <f t="shared" si="5"/>
        <v>0</v>
      </c>
      <c r="K71">
        <f t="shared" si="6"/>
        <v>0</v>
      </c>
    </row>
    <row r="72" spans="1:11" ht="28.9">
      <c r="A72" s="1" t="s">
        <v>128</v>
      </c>
      <c r="B72" s="1" t="s">
        <v>129</v>
      </c>
      <c r="C72" t="s">
        <v>12</v>
      </c>
      <c r="E72" s="1" t="s">
        <v>16</v>
      </c>
      <c r="H72">
        <f t="shared" si="7"/>
        <v>0</v>
      </c>
      <c r="I72">
        <f t="shared" si="4"/>
        <v>1</v>
      </c>
      <c r="J72">
        <f t="shared" si="5"/>
        <v>0</v>
      </c>
      <c r="K72">
        <f t="shared" si="6"/>
        <v>0</v>
      </c>
    </row>
    <row r="73" spans="1:11" ht="28.9">
      <c r="A73" s="1" t="s">
        <v>128</v>
      </c>
      <c r="B73" s="1" t="s">
        <v>130</v>
      </c>
      <c r="C73" t="s">
        <v>12</v>
      </c>
      <c r="E73" s="1" t="s">
        <v>13</v>
      </c>
      <c r="H73">
        <f t="shared" si="7"/>
        <v>1</v>
      </c>
      <c r="I73">
        <f t="shared" si="4"/>
        <v>0</v>
      </c>
      <c r="J73">
        <f t="shared" si="5"/>
        <v>1</v>
      </c>
      <c r="K73">
        <f t="shared" si="6"/>
        <v>0</v>
      </c>
    </row>
    <row r="74" spans="1:11" ht="28.9">
      <c r="A74" s="1" t="s">
        <v>131</v>
      </c>
      <c r="B74" s="1" t="s">
        <v>132</v>
      </c>
      <c r="C74" t="s">
        <v>24</v>
      </c>
      <c r="E74" s="1" t="s">
        <v>13</v>
      </c>
      <c r="H74">
        <f t="shared" si="7"/>
        <v>0</v>
      </c>
      <c r="I74">
        <f t="shared" si="4"/>
        <v>0</v>
      </c>
      <c r="J74">
        <f t="shared" si="5"/>
        <v>0</v>
      </c>
      <c r="K74">
        <f t="shared" si="6"/>
        <v>0</v>
      </c>
    </row>
    <row r="75" spans="1:11" ht="28.9">
      <c r="A75" s="1" t="s">
        <v>131</v>
      </c>
      <c r="B75" s="1" t="s">
        <v>133</v>
      </c>
      <c r="C75" t="s">
        <v>24</v>
      </c>
      <c r="E75" s="1" t="s">
        <v>13</v>
      </c>
      <c r="H75">
        <f t="shared" si="7"/>
        <v>0</v>
      </c>
      <c r="I75">
        <f t="shared" si="4"/>
        <v>0</v>
      </c>
      <c r="J75">
        <f t="shared" si="5"/>
        <v>0</v>
      </c>
      <c r="K75">
        <f t="shared" si="6"/>
        <v>0</v>
      </c>
    </row>
    <row r="76" spans="1:11" ht="43.15">
      <c r="A76" s="1" t="s">
        <v>131</v>
      </c>
      <c r="B76" s="1" t="s">
        <v>134</v>
      </c>
      <c r="C76" t="s">
        <v>24</v>
      </c>
      <c r="E76" s="1" t="s">
        <v>21</v>
      </c>
      <c r="H76">
        <f t="shared" si="7"/>
        <v>1</v>
      </c>
      <c r="I76">
        <f t="shared" si="4"/>
        <v>0</v>
      </c>
      <c r="J76">
        <f t="shared" si="5"/>
        <v>0</v>
      </c>
      <c r="K76">
        <f t="shared" si="6"/>
        <v>0</v>
      </c>
    </row>
    <row r="77" spans="1:11" ht="28.9">
      <c r="A77" s="1" t="s">
        <v>135</v>
      </c>
      <c r="B77" s="1" t="s">
        <v>136</v>
      </c>
      <c r="C77" t="s">
        <v>20</v>
      </c>
      <c r="E77" s="1" t="s">
        <v>21</v>
      </c>
      <c r="H77">
        <f t="shared" si="7"/>
        <v>0</v>
      </c>
      <c r="I77">
        <f t="shared" si="4"/>
        <v>0</v>
      </c>
      <c r="J77">
        <f t="shared" si="5"/>
        <v>0</v>
      </c>
      <c r="K77">
        <f t="shared" si="6"/>
        <v>0</v>
      </c>
    </row>
    <row r="78" spans="1:11" ht="28.9">
      <c r="A78" s="1" t="s">
        <v>137</v>
      </c>
      <c r="B78" s="1" t="s">
        <v>66</v>
      </c>
      <c r="C78" t="s">
        <v>20</v>
      </c>
      <c r="E78" s="1" t="s">
        <v>21</v>
      </c>
      <c r="H78">
        <f t="shared" si="7"/>
        <v>0</v>
      </c>
      <c r="I78">
        <f t="shared" si="4"/>
        <v>0</v>
      </c>
      <c r="J78">
        <f t="shared" si="5"/>
        <v>0</v>
      </c>
      <c r="K78">
        <f t="shared" si="6"/>
        <v>0</v>
      </c>
    </row>
    <row r="79" spans="1:11" ht="43.15">
      <c r="A79" s="1" t="s">
        <v>138</v>
      </c>
      <c r="B79" s="1" t="s">
        <v>139</v>
      </c>
      <c r="C79" t="s">
        <v>20</v>
      </c>
      <c r="E79" s="1" t="s">
        <v>13</v>
      </c>
      <c r="H79">
        <f t="shared" si="7"/>
        <v>1</v>
      </c>
      <c r="I79">
        <f t="shared" si="4"/>
        <v>0</v>
      </c>
      <c r="J79">
        <f t="shared" si="5"/>
        <v>0</v>
      </c>
      <c r="K79">
        <f t="shared" si="6"/>
        <v>0</v>
      </c>
    </row>
    <row r="80" spans="1:11" ht="43.15">
      <c r="A80" s="1" t="s">
        <v>138</v>
      </c>
      <c r="B80" s="1" t="s">
        <v>140</v>
      </c>
      <c r="C80" t="s">
        <v>20</v>
      </c>
      <c r="E80" s="1" t="s">
        <v>13</v>
      </c>
      <c r="H80">
        <f t="shared" si="7"/>
        <v>1</v>
      </c>
      <c r="I80">
        <f t="shared" si="4"/>
        <v>0</v>
      </c>
      <c r="J80">
        <f t="shared" si="5"/>
        <v>0</v>
      </c>
      <c r="K80">
        <f t="shared" si="6"/>
        <v>0</v>
      </c>
    </row>
    <row r="81" spans="1:11" ht="28.9">
      <c r="A81" s="1" t="s">
        <v>141</v>
      </c>
      <c r="B81" s="1" t="s">
        <v>142</v>
      </c>
      <c r="C81" t="s">
        <v>12</v>
      </c>
      <c r="F81" t="s">
        <v>143</v>
      </c>
      <c r="G81" t="s">
        <v>42</v>
      </c>
      <c r="H81">
        <f t="shared" si="7"/>
        <v>1</v>
      </c>
      <c r="I81">
        <f t="shared" si="4"/>
        <v>0</v>
      </c>
      <c r="J81">
        <f t="shared" si="5"/>
        <v>1</v>
      </c>
      <c r="K81">
        <f t="shared" si="6"/>
        <v>0</v>
      </c>
    </row>
    <row r="82" spans="1:11">
      <c r="A82" s="1" t="s">
        <v>144</v>
      </c>
      <c r="E82" s="1" t="s">
        <v>13</v>
      </c>
      <c r="H82">
        <f t="shared" si="7"/>
        <v>1</v>
      </c>
      <c r="I82">
        <f t="shared" si="4"/>
        <v>0</v>
      </c>
      <c r="J82">
        <f t="shared" si="5"/>
        <v>0</v>
      </c>
      <c r="K82">
        <f t="shared" si="6"/>
        <v>0</v>
      </c>
    </row>
    <row r="83" spans="1:11" ht="43.15">
      <c r="A83" s="1" t="s">
        <v>145</v>
      </c>
      <c r="B83" s="1" t="s">
        <v>146</v>
      </c>
      <c r="C83" t="s">
        <v>12</v>
      </c>
      <c r="E83" s="1" t="s">
        <v>16</v>
      </c>
      <c r="F83" t="s">
        <v>147</v>
      </c>
      <c r="G83" t="s">
        <v>42</v>
      </c>
      <c r="H83">
        <f t="shared" si="7"/>
        <v>0</v>
      </c>
      <c r="I83">
        <f t="shared" si="4"/>
        <v>1</v>
      </c>
      <c r="J83">
        <f t="shared" si="5"/>
        <v>0</v>
      </c>
      <c r="K83">
        <f t="shared" si="6"/>
        <v>0</v>
      </c>
    </row>
    <row r="84" spans="1:11" ht="28.9">
      <c r="A84" s="1" t="s">
        <v>145</v>
      </c>
      <c r="B84" s="1" t="s">
        <v>148</v>
      </c>
      <c r="C84" t="s">
        <v>12</v>
      </c>
      <c r="E84" s="1" t="s">
        <v>16</v>
      </c>
      <c r="H84">
        <f t="shared" si="7"/>
        <v>0</v>
      </c>
      <c r="I84">
        <f t="shared" si="4"/>
        <v>1</v>
      </c>
      <c r="J84">
        <f t="shared" si="5"/>
        <v>0</v>
      </c>
      <c r="K84">
        <f t="shared" si="6"/>
        <v>0</v>
      </c>
    </row>
    <row r="85" spans="1:11" ht="28.9">
      <c r="A85" s="1" t="s">
        <v>149</v>
      </c>
      <c r="B85" s="1" t="s">
        <v>150</v>
      </c>
      <c r="C85" t="s">
        <v>12</v>
      </c>
      <c r="E85" s="1" t="s">
        <v>16</v>
      </c>
      <c r="H85">
        <f t="shared" si="7"/>
        <v>0</v>
      </c>
      <c r="I85">
        <f t="shared" si="4"/>
        <v>1</v>
      </c>
      <c r="J85">
        <f t="shared" si="5"/>
        <v>0</v>
      </c>
      <c r="K85">
        <f t="shared" si="6"/>
        <v>0</v>
      </c>
    </row>
    <row r="86" spans="1:11" ht="28.9">
      <c r="A86" s="1" t="s">
        <v>149</v>
      </c>
      <c r="B86" s="1" t="s">
        <v>83</v>
      </c>
      <c r="C86" t="s">
        <v>12</v>
      </c>
      <c r="E86" s="1" t="s">
        <v>13</v>
      </c>
      <c r="H86">
        <f t="shared" si="7"/>
        <v>1</v>
      </c>
      <c r="I86">
        <f t="shared" si="4"/>
        <v>0</v>
      </c>
      <c r="J86">
        <f t="shared" si="5"/>
        <v>1</v>
      </c>
      <c r="K86">
        <f t="shared" si="6"/>
        <v>0</v>
      </c>
    </row>
    <row r="87" spans="1:11" ht="28.9">
      <c r="A87" s="1" t="s">
        <v>149</v>
      </c>
      <c r="B87" s="1" t="s">
        <v>151</v>
      </c>
      <c r="C87" t="s">
        <v>12</v>
      </c>
      <c r="E87" s="1" t="s">
        <v>21</v>
      </c>
      <c r="H87">
        <f t="shared" si="7"/>
        <v>1</v>
      </c>
      <c r="I87">
        <f t="shared" si="4"/>
        <v>0</v>
      </c>
      <c r="J87">
        <f t="shared" si="5"/>
        <v>1</v>
      </c>
      <c r="K87">
        <f t="shared" si="6"/>
        <v>0</v>
      </c>
    </row>
    <row r="88" spans="1:11" ht="28.9">
      <c r="A88" s="1" t="s">
        <v>152</v>
      </c>
      <c r="B88" s="1" t="s">
        <v>123</v>
      </c>
      <c r="C88" t="s">
        <v>20</v>
      </c>
      <c r="E88" s="1" t="s">
        <v>21</v>
      </c>
      <c r="H88">
        <f t="shared" si="7"/>
        <v>0</v>
      </c>
      <c r="I88">
        <f t="shared" si="4"/>
        <v>0</v>
      </c>
      <c r="J88">
        <f t="shared" si="5"/>
        <v>0</v>
      </c>
      <c r="K88">
        <f t="shared" si="6"/>
        <v>0</v>
      </c>
    </row>
    <row r="89" spans="1:11" ht="28.9">
      <c r="A89" s="1" t="s">
        <v>153</v>
      </c>
      <c r="B89" s="1" t="s">
        <v>154</v>
      </c>
      <c r="C89" t="s">
        <v>20</v>
      </c>
      <c r="E89" s="1" t="s">
        <v>13</v>
      </c>
      <c r="H89">
        <f t="shared" si="7"/>
        <v>1</v>
      </c>
      <c r="I89">
        <f t="shared" si="4"/>
        <v>0</v>
      </c>
      <c r="J89">
        <f t="shared" si="5"/>
        <v>0</v>
      </c>
      <c r="K89">
        <f t="shared" si="6"/>
        <v>0</v>
      </c>
    </row>
    <row r="90" spans="1:11" ht="28.9">
      <c r="A90" s="1" t="s">
        <v>155</v>
      </c>
      <c r="B90" s="1" t="s">
        <v>156</v>
      </c>
      <c r="C90" t="s">
        <v>24</v>
      </c>
      <c r="E90" s="1" t="s">
        <v>13</v>
      </c>
      <c r="H90">
        <f t="shared" si="7"/>
        <v>0</v>
      </c>
      <c r="I90">
        <f t="shared" si="4"/>
        <v>0</v>
      </c>
      <c r="J90">
        <f t="shared" si="5"/>
        <v>0</v>
      </c>
      <c r="K90">
        <f t="shared" si="6"/>
        <v>0</v>
      </c>
    </row>
    <row r="91" spans="1:11" ht="28.9">
      <c r="A91" s="1" t="s">
        <v>155</v>
      </c>
      <c r="B91" s="1" t="s">
        <v>157</v>
      </c>
      <c r="C91" t="s">
        <v>12</v>
      </c>
      <c r="E91" s="1" t="s">
        <v>16</v>
      </c>
      <c r="H91">
        <f t="shared" si="7"/>
        <v>0</v>
      </c>
      <c r="I91">
        <f t="shared" si="4"/>
        <v>1</v>
      </c>
      <c r="J91">
        <f t="shared" si="5"/>
        <v>0</v>
      </c>
      <c r="K91">
        <f t="shared" si="6"/>
        <v>0</v>
      </c>
    </row>
    <row r="92" spans="1:11" ht="28.9">
      <c r="A92" s="1" t="s">
        <v>155</v>
      </c>
      <c r="B92" s="1" t="s">
        <v>60</v>
      </c>
      <c r="C92" t="s">
        <v>12</v>
      </c>
      <c r="E92" s="1" t="s">
        <v>13</v>
      </c>
      <c r="H92">
        <f t="shared" si="7"/>
        <v>1</v>
      </c>
      <c r="I92">
        <f t="shared" si="4"/>
        <v>0</v>
      </c>
      <c r="J92">
        <f t="shared" si="5"/>
        <v>1</v>
      </c>
      <c r="K92">
        <f t="shared" si="6"/>
        <v>0</v>
      </c>
    </row>
    <row r="93" spans="1:11" ht="57.6">
      <c r="A93" s="1" t="s">
        <v>158</v>
      </c>
      <c r="B93" s="1" t="s">
        <v>159</v>
      </c>
      <c r="C93" t="s">
        <v>20</v>
      </c>
      <c r="H93">
        <f t="shared" si="7"/>
        <v>1</v>
      </c>
      <c r="I93">
        <f t="shared" si="4"/>
        <v>0</v>
      </c>
      <c r="J93">
        <f t="shared" si="5"/>
        <v>0</v>
      </c>
      <c r="K93">
        <f t="shared" si="6"/>
        <v>0</v>
      </c>
    </row>
    <row r="94" spans="1:11" ht="43.15">
      <c r="A94" s="1" t="s">
        <v>160</v>
      </c>
      <c r="E94" s="1" t="s">
        <v>21</v>
      </c>
      <c r="H94">
        <f t="shared" si="7"/>
        <v>1</v>
      </c>
      <c r="I94">
        <f t="shared" si="4"/>
        <v>0</v>
      </c>
      <c r="J94">
        <f t="shared" si="5"/>
        <v>0</v>
      </c>
      <c r="K94">
        <f t="shared" si="6"/>
        <v>0</v>
      </c>
    </row>
    <row r="95" spans="1:11">
      <c r="A95" s="1" t="s">
        <v>161</v>
      </c>
      <c r="B95" s="1" t="s">
        <v>139</v>
      </c>
      <c r="C95" t="s">
        <v>20</v>
      </c>
      <c r="E95" s="1" t="s">
        <v>13</v>
      </c>
      <c r="H95">
        <f t="shared" si="7"/>
        <v>1</v>
      </c>
      <c r="I95">
        <f t="shared" si="4"/>
        <v>0</v>
      </c>
      <c r="J95">
        <f t="shared" si="5"/>
        <v>0</v>
      </c>
      <c r="K95">
        <f t="shared" si="6"/>
        <v>0</v>
      </c>
    </row>
    <row r="96" spans="1:11" ht="28.9">
      <c r="A96" s="1" t="s">
        <v>162</v>
      </c>
      <c r="B96" s="1" t="s">
        <v>163</v>
      </c>
      <c r="C96" t="s">
        <v>12</v>
      </c>
      <c r="E96" s="1" t="s">
        <v>13</v>
      </c>
      <c r="F96" t="s">
        <v>71</v>
      </c>
      <c r="G96" t="s">
        <v>42</v>
      </c>
      <c r="H96">
        <f t="shared" si="7"/>
        <v>1</v>
      </c>
      <c r="I96">
        <f t="shared" si="4"/>
        <v>0</v>
      </c>
      <c r="J96">
        <f t="shared" si="5"/>
        <v>1</v>
      </c>
      <c r="K96">
        <f t="shared" si="6"/>
        <v>0</v>
      </c>
    </row>
    <row r="97" spans="1:11" ht="28.9">
      <c r="A97" s="1" t="s">
        <v>162</v>
      </c>
      <c r="B97" s="1" t="s">
        <v>164</v>
      </c>
      <c r="C97" t="s">
        <v>12</v>
      </c>
      <c r="E97" s="1" t="s">
        <v>16</v>
      </c>
      <c r="F97" t="s">
        <v>165</v>
      </c>
      <c r="G97" t="s">
        <v>42</v>
      </c>
      <c r="H97">
        <f t="shared" si="7"/>
        <v>0</v>
      </c>
      <c r="I97">
        <f t="shared" si="4"/>
        <v>1</v>
      </c>
      <c r="J97">
        <f t="shared" si="5"/>
        <v>0</v>
      </c>
      <c r="K97">
        <f t="shared" si="6"/>
        <v>0</v>
      </c>
    </row>
    <row r="98" spans="1:11" ht="28.9">
      <c r="A98" s="1" t="s">
        <v>166</v>
      </c>
      <c r="B98" s="1" t="s">
        <v>167</v>
      </c>
      <c r="C98" t="s">
        <v>12</v>
      </c>
      <c r="E98" s="1" t="s">
        <v>13</v>
      </c>
      <c r="H98">
        <f t="shared" si="7"/>
        <v>1</v>
      </c>
      <c r="I98">
        <f t="shared" si="4"/>
        <v>0</v>
      </c>
      <c r="J98">
        <f t="shared" si="5"/>
        <v>1</v>
      </c>
      <c r="K98">
        <f t="shared" si="6"/>
        <v>0</v>
      </c>
    </row>
    <row r="99" spans="1:11" ht="28.9">
      <c r="A99" s="1" t="s">
        <v>168</v>
      </c>
      <c r="B99" s="1" t="s">
        <v>169</v>
      </c>
      <c r="C99" t="s">
        <v>20</v>
      </c>
      <c r="E99" s="1" t="s">
        <v>13</v>
      </c>
      <c r="H99">
        <f t="shared" si="7"/>
        <v>1</v>
      </c>
      <c r="I99">
        <f t="shared" si="4"/>
        <v>0</v>
      </c>
      <c r="J99">
        <f t="shared" si="5"/>
        <v>0</v>
      </c>
      <c r="K99">
        <f t="shared" si="6"/>
        <v>0</v>
      </c>
    </row>
    <row r="100" spans="1:11" ht="28.9">
      <c r="A100" s="1" t="s">
        <v>168</v>
      </c>
      <c r="B100" s="1" t="s">
        <v>170</v>
      </c>
      <c r="C100" t="s">
        <v>20</v>
      </c>
      <c r="E100" s="1" t="s">
        <v>13</v>
      </c>
      <c r="H100">
        <f t="shared" si="7"/>
        <v>1</v>
      </c>
      <c r="I100">
        <f t="shared" si="4"/>
        <v>0</v>
      </c>
      <c r="J100">
        <f t="shared" si="5"/>
        <v>0</v>
      </c>
      <c r="K100">
        <f t="shared" si="6"/>
        <v>0</v>
      </c>
    </row>
    <row r="101" spans="1:11" ht="28.9">
      <c r="A101" s="1" t="s">
        <v>171</v>
      </c>
      <c r="B101" s="1" t="s">
        <v>172</v>
      </c>
      <c r="C101" t="s">
        <v>12</v>
      </c>
      <c r="E101" s="1" t="s">
        <v>16</v>
      </c>
      <c r="H101">
        <f t="shared" si="7"/>
        <v>0</v>
      </c>
      <c r="I101">
        <f t="shared" si="4"/>
        <v>1</v>
      </c>
      <c r="J101">
        <f t="shared" si="5"/>
        <v>0</v>
      </c>
      <c r="K101">
        <f t="shared" si="6"/>
        <v>0</v>
      </c>
    </row>
    <row r="102" spans="1:11">
      <c r="A102" s="1" t="s">
        <v>171</v>
      </c>
      <c r="B102" s="1" t="s">
        <v>173</v>
      </c>
      <c r="C102" t="s">
        <v>12</v>
      </c>
      <c r="E102" s="1" t="s">
        <v>13</v>
      </c>
      <c r="H102">
        <f t="shared" si="7"/>
        <v>1</v>
      </c>
      <c r="I102">
        <f t="shared" si="4"/>
        <v>0</v>
      </c>
      <c r="J102">
        <f t="shared" si="5"/>
        <v>1</v>
      </c>
      <c r="K102">
        <f t="shared" si="6"/>
        <v>0</v>
      </c>
    </row>
    <row r="103" spans="1:11" ht="28.9">
      <c r="A103" s="1" t="s">
        <v>174</v>
      </c>
      <c r="B103" s="1" t="s">
        <v>15</v>
      </c>
      <c r="C103" t="s">
        <v>20</v>
      </c>
      <c r="E103" s="1" t="s">
        <v>21</v>
      </c>
      <c r="H103">
        <f t="shared" si="7"/>
        <v>0</v>
      </c>
      <c r="I103">
        <f t="shared" si="4"/>
        <v>0</v>
      </c>
      <c r="J103">
        <f t="shared" si="5"/>
        <v>0</v>
      </c>
      <c r="K103">
        <f t="shared" si="6"/>
        <v>0</v>
      </c>
    </row>
    <row r="104" spans="1:11" ht="28.9">
      <c r="A104" s="1" t="s">
        <v>175</v>
      </c>
      <c r="B104" s="1" t="s">
        <v>140</v>
      </c>
      <c r="C104" t="s">
        <v>20</v>
      </c>
      <c r="H104">
        <f t="shared" si="7"/>
        <v>1</v>
      </c>
      <c r="I104">
        <f t="shared" si="4"/>
        <v>0</v>
      </c>
      <c r="J104">
        <f t="shared" si="5"/>
        <v>0</v>
      </c>
      <c r="K104">
        <f t="shared" si="6"/>
        <v>0</v>
      </c>
    </row>
    <row r="105" spans="1:11" ht="28.9">
      <c r="A105" s="1" t="s">
        <v>175</v>
      </c>
      <c r="B105" s="1" t="s">
        <v>163</v>
      </c>
      <c r="C105" t="s">
        <v>20</v>
      </c>
      <c r="E105" s="1" t="s">
        <v>21</v>
      </c>
      <c r="F105" t="s">
        <v>176</v>
      </c>
      <c r="G105" t="s">
        <v>176</v>
      </c>
      <c r="H105">
        <f t="shared" si="7"/>
        <v>0</v>
      </c>
      <c r="I105">
        <f t="shared" si="4"/>
        <v>0</v>
      </c>
      <c r="J105">
        <f t="shared" si="5"/>
        <v>0</v>
      </c>
      <c r="K105">
        <f t="shared" si="6"/>
        <v>0</v>
      </c>
    </row>
    <row r="106" spans="1:11">
      <c r="A106" s="1" t="s">
        <v>177</v>
      </c>
      <c r="B106" s="1" t="s">
        <v>178</v>
      </c>
      <c r="C106" t="s">
        <v>20</v>
      </c>
      <c r="E106" s="1" t="s">
        <v>16</v>
      </c>
      <c r="H106">
        <f t="shared" si="7"/>
        <v>1</v>
      </c>
      <c r="I106">
        <f t="shared" si="4"/>
        <v>0</v>
      </c>
      <c r="J106">
        <f t="shared" si="5"/>
        <v>0</v>
      </c>
      <c r="K106">
        <f t="shared" si="6"/>
        <v>1</v>
      </c>
    </row>
    <row r="107" spans="1:11" ht="28.9">
      <c r="A107" s="1" t="s">
        <v>179</v>
      </c>
      <c r="B107" s="1" t="s">
        <v>29</v>
      </c>
      <c r="C107" t="s">
        <v>12</v>
      </c>
      <c r="E107" s="1" t="s">
        <v>16</v>
      </c>
      <c r="H107">
        <f t="shared" si="7"/>
        <v>0</v>
      </c>
      <c r="I107">
        <f t="shared" si="4"/>
        <v>1</v>
      </c>
      <c r="J107">
        <f t="shared" si="5"/>
        <v>0</v>
      </c>
      <c r="K107">
        <f t="shared" si="6"/>
        <v>0</v>
      </c>
    </row>
    <row r="108" spans="1:11" ht="28.9">
      <c r="A108" s="1" t="s">
        <v>179</v>
      </c>
      <c r="B108" s="1" t="s">
        <v>180</v>
      </c>
      <c r="C108" t="s">
        <v>12</v>
      </c>
      <c r="E108" s="1" t="s">
        <v>21</v>
      </c>
      <c r="H108">
        <f t="shared" si="7"/>
        <v>1</v>
      </c>
      <c r="I108">
        <f t="shared" si="4"/>
        <v>0</v>
      </c>
      <c r="J108">
        <f t="shared" si="5"/>
        <v>1</v>
      </c>
      <c r="K108">
        <f t="shared" si="6"/>
        <v>0</v>
      </c>
    </row>
    <row r="109" spans="1:11" ht="28.9">
      <c r="A109" s="1" t="s">
        <v>179</v>
      </c>
      <c r="B109" s="1" t="s">
        <v>181</v>
      </c>
      <c r="C109" t="s">
        <v>20</v>
      </c>
      <c r="E109" s="1" t="s">
        <v>13</v>
      </c>
      <c r="H109">
        <f t="shared" si="7"/>
        <v>1</v>
      </c>
      <c r="I109">
        <f t="shared" si="4"/>
        <v>0</v>
      </c>
      <c r="J109">
        <f t="shared" si="5"/>
        <v>0</v>
      </c>
      <c r="K109">
        <f t="shared" si="6"/>
        <v>0</v>
      </c>
    </row>
    <row r="110" spans="1:11" ht="28.9">
      <c r="A110" s="1" t="s">
        <v>182</v>
      </c>
      <c r="B110" s="1" t="s">
        <v>183</v>
      </c>
      <c r="C110" t="s">
        <v>20</v>
      </c>
      <c r="E110" s="1" t="s">
        <v>13</v>
      </c>
      <c r="H110">
        <f t="shared" si="7"/>
        <v>1</v>
      </c>
      <c r="I110">
        <f t="shared" si="4"/>
        <v>0</v>
      </c>
      <c r="J110">
        <f t="shared" si="5"/>
        <v>0</v>
      </c>
      <c r="K110">
        <f t="shared" si="6"/>
        <v>0</v>
      </c>
    </row>
    <row r="111" spans="1:11" ht="43.15">
      <c r="A111" s="1" t="s">
        <v>182</v>
      </c>
      <c r="B111" s="1" t="s">
        <v>184</v>
      </c>
      <c r="C111" t="s">
        <v>20</v>
      </c>
      <c r="E111" s="1" t="s">
        <v>16</v>
      </c>
      <c r="H111">
        <f t="shared" si="7"/>
        <v>1</v>
      </c>
      <c r="I111">
        <f t="shared" si="4"/>
        <v>0</v>
      </c>
      <c r="J111">
        <f t="shared" si="5"/>
        <v>0</v>
      </c>
      <c r="K111">
        <f t="shared" si="6"/>
        <v>1</v>
      </c>
    </row>
    <row r="112" spans="1:11" ht="43.15">
      <c r="A112" s="1" t="s">
        <v>185</v>
      </c>
      <c r="B112" s="1" t="s">
        <v>186</v>
      </c>
      <c r="C112" t="s">
        <v>12</v>
      </c>
      <c r="E112" s="1" t="s">
        <v>16</v>
      </c>
      <c r="H112">
        <f t="shared" si="7"/>
        <v>0</v>
      </c>
      <c r="I112">
        <f t="shared" si="4"/>
        <v>1</v>
      </c>
      <c r="J112">
        <f t="shared" si="5"/>
        <v>0</v>
      </c>
      <c r="K112">
        <f t="shared" si="6"/>
        <v>0</v>
      </c>
    </row>
    <row r="113" spans="1:11" ht="43.15">
      <c r="A113" s="1" t="s">
        <v>185</v>
      </c>
      <c r="B113" s="1" t="s">
        <v>79</v>
      </c>
      <c r="C113" t="s">
        <v>12</v>
      </c>
      <c r="E113" s="1" t="s">
        <v>16</v>
      </c>
      <c r="H113">
        <f t="shared" si="7"/>
        <v>0</v>
      </c>
      <c r="I113">
        <f t="shared" si="4"/>
        <v>1</v>
      </c>
      <c r="J113">
        <f t="shared" si="5"/>
        <v>0</v>
      </c>
      <c r="K113">
        <f t="shared" si="6"/>
        <v>0</v>
      </c>
    </row>
    <row r="114" spans="1:11" ht="43.15">
      <c r="A114" s="1" t="s">
        <v>185</v>
      </c>
      <c r="B114" s="1" t="s">
        <v>187</v>
      </c>
      <c r="C114" t="s">
        <v>12</v>
      </c>
      <c r="E114" s="1" t="s">
        <v>16</v>
      </c>
      <c r="H114">
        <f t="shared" si="7"/>
        <v>0</v>
      </c>
      <c r="I114">
        <f t="shared" si="4"/>
        <v>1</v>
      </c>
      <c r="J114">
        <f t="shared" si="5"/>
        <v>0</v>
      </c>
      <c r="K114">
        <f t="shared" si="6"/>
        <v>0</v>
      </c>
    </row>
    <row r="115" spans="1:11" ht="43.15">
      <c r="A115" s="1" t="s">
        <v>185</v>
      </c>
      <c r="B115" s="1" t="s">
        <v>188</v>
      </c>
      <c r="C115" t="s">
        <v>12</v>
      </c>
      <c r="E115" s="1" t="s">
        <v>16</v>
      </c>
      <c r="H115">
        <f t="shared" si="7"/>
        <v>0</v>
      </c>
      <c r="I115">
        <f t="shared" si="4"/>
        <v>1</v>
      </c>
      <c r="J115">
        <f t="shared" si="5"/>
        <v>0</v>
      </c>
      <c r="K115">
        <f t="shared" si="6"/>
        <v>0</v>
      </c>
    </row>
    <row r="116" spans="1:11" ht="57.6">
      <c r="A116" s="1" t="s">
        <v>189</v>
      </c>
      <c r="B116" s="1" t="s">
        <v>15</v>
      </c>
      <c r="C116" t="s">
        <v>12</v>
      </c>
      <c r="E116" s="1" t="s">
        <v>16</v>
      </c>
      <c r="H116">
        <f t="shared" si="7"/>
        <v>0</v>
      </c>
      <c r="I116">
        <f t="shared" si="4"/>
        <v>1</v>
      </c>
      <c r="J116">
        <f t="shared" si="5"/>
        <v>0</v>
      </c>
      <c r="K116">
        <f t="shared" si="6"/>
        <v>0</v>
      </c>
    </row>
    <row r="117" spans="1:11" ht="28.9">
      <c r="A117" s="1" t="s">
        <v>190</v>
      </c>
      <c r="B117" s="1" t="s">
        <v>191</v>
      </c>
      <c r="C117" t="s">
        <v>12</v>
      </c>
      <c r="E117" s="1" t="s">
        <v>13</v>
      </c>
      <c r="H117">
        <f t="shared" si="7"/>
        <v>1</v>
      </c>
      <c r="I117">
        <f t="shared" si="4"/>
        <v>0</v>
      </c>
      <c r="J117">
        <f t="shared" si="5"/>
        <v>1</v>
      </c>
      <c r="K117">
        <f t="shared" si="6"/>
        <v>0</v>
      </c>
    </row>
    <row r="118" spans="1:11" ht="43.15">
      <c r="A118" s="1" t="s">
        <v>192</v>
      </c>
      <c r="B118" s="1" t="s">
        <v>193</v>
      </c>
      <c r="C118" t="s">
        <v>24</v>
      </c>
      <c r="E118" s="1" t="s">
        <v>13</v>
      </c>
      <c r="H118">
        <f t="shared" si="7"/>
        <v>0</v>
      </c>
      <c r="I118">
        <f t="shared" si="4"/>
        <v>0</v>
      </c>
      <c r="J118">
        <f t="shared" si="5"/>
        <v>0</v>
      </c>
      <c r="K118">
        <f t="shared" si="6"/>
        <v>0</v>
      </c>
    </row>
    <row r="119" spans="1:11" ht="28.9">
      <c r="A119" s="1" t="s">
        <v>192</v>
      </c>
      <c r="B119" s="1" t="s">
        <v>194</v>
      </c>
      <c r="C119" t="s">
        <v>24</v>
      </c>
      <c r="E119" s="1" t="s">
        <v>13</v>
      </c>
      <c r="H119">
        <f t="shared" si="7"/>
        <v>0</v>
      </c>
      <c r="I119">
        <f t="shared" si="4"/>
        <v>0</v>
      </c>
      <c r="J119">
        <f t="shared" si="5"/>
        <v>0</v>
      </c>
      <c r="K119">
        <f t="shared" si="6"/>
        <v>0</v>
      </c>
    </row>
    <row r="120" spans="1:11" ht="28.9">
      <c r="A120" s="1" t="s">
        <v>195</v>
      </c>
      <c r="B120" s="1" t="s">
        <v>196</v>
      </c>
      <c r="C120" t="s">
        <v>24</v>
      </c>
      <c r="E120" s="1" t="s">
        <v>16</v>
      </c>
      <c r="H120">
        <f t="shared" si="7"/>
        <v>1</v>
      </c>
      <c r="I120">
        <f t="shared" si="4"/>
        <v>0</v>
      </c>
      <c r="J120">
        <f t="shared" si="5"/>
        <v>0</v>
      </c>
      <c r="K120">
        <f t="shared" si="6"/>
        <v>1</v>
      </c>
    </row>
    <row r="121" spans="1:11" ht="28.9">
      <c r="A121" s="1" t="s">
        <v>197</v>
      </c>
      <c r="B121" s="1" t="s">
        <v>15</v>
      </c>
      <c r="C121" t="s">
        <v>12</v>
      </c>
      <c r="E121" s="1" t="s">
        <v>21</v>
      </c>
      <c r="H121">
        <f t="shared" si="7"/>
        <v>1</v>
      </c>
      <c r="I121">
        <f t="shared" si="4"/>
        <v>0</v>
      </c>
      <c r="J121">
        <f t="shared" si="5"/>
        <v>1</v>
      </c>
      <c r="K121">
        <f t="shared" si="6"/>
        <v>0</v>
      </c>
    </row>
    <row r="122" spans="1:11" ht="28.9">
      <c r="A122" s="1" t="s">
        <v>198</v>
      </c>
      <c r="B122" s="1" t="s">
        <v>199</v>
      </c>
      <c r="C122" t="s">
        <v>20</v>
      </c>
      <c r="E122" s="1" t="s">
        <v>13</v>
      </c>
      <c r="H122">
        <f t="shared" si="7"/>
        <v>1</v>
      </c>
      <c r="I122">
        <f t="shared" si="4"/>
        <v>0</v>
      </c>
      <c r="J122">
        <f t="shared" si="5"/>
        <v>0</v>
      </c>
      <c r="K122">
        <f t="shared" si="6"/>
        <v>0</v>
      </c>
    </row>
    <row r="123" spans="1:11" ht="28.9">
      <c r="A123" s="1" t="s">
        <v>200</v>
      </c>
      <c r="B123" s="1" t="s">
        <v>201</v>
      </c>
      <c r="C123" t="s">
        <v>12</v>
      </c>
      <c r="E123" s="1" t="s">
        <v>13</v>
      </c>
      <c r="H123">
        <f t="shared" si="7"/>
        <v>1</v>
      </c>
      <c r="I123">
        <f t="shared" si="4"/>
        <v>0</v>
      </c>
      <c r="J123">
        <f t="shared" si="5"/>
        <v>1</v>
      </c>
      <c r="K123">
        <f t="shared" si="6"/>
        <v>0</v>
      </c>
    </row>
    <row r="124" spans="1:11" ht="72">
      <c r="A124" s="1" t="s">
        <v>200</v>
      </c>
      <c r="B124" s="1" t="s">
        <v>202</v>
      </c>
      <c r="C124" t="s">
        <v>24</v>
      </c>
      <c r="E124" s="1" t="s">
        <v>13</v>
      </c>
      <c r="H124">
        <f t="shared" si="7"/>
        <v>0</v>
      </c>
      <c r="I124">
        <f t="shared" si="4"/>
        <v>0</v>
      </c>
      <c r="J124">
        <f t="shared" si="5"/>
        <v>0</v>
      </c>
      <c r="K124">
        <f t="shared" si="6"/>
        <v>0</v>
      </c>
    </row>
    <row r="125" spans="1:11">
      <c r="A125" s="1" t="s">
        <v>203</v>
      </c>
      <c r="B125" s="1" t="s">
        <v>79</v>
      </c>
      <c r="C125" t="s">
        <v>24</v>
      </c>
      <c r="E125" s="1" t="s">
        <v>21</v>
      </c>
      <c r="H125">
        <f t="shared" si="7"/>
        <v>1</v>
      </c>
      <c r="I125">
        <f t="shared" si="4"/>
        <v>0</v>
      </c>
      <c r="J125">
        <f t="shared" si="5"/>
        <v>0</v>
      </c>
      <c r="K125">
        <f t="shared" si="6"/>
        <v>0</v>
      </c>
    </row>
    <row r="126" spans="1:11" ht="43.15">
      <c r="A126" s="1" t="s">
        <v>204</v>
      </c>
      <c r="B126" s="1" t="s">
        <v>205</v>
      </c>
      <c r="C126" t="s">
        <v>12</v>
      </c>
      <c r="E126" s="1" t="s">
        <v>13</v>
      </c>
      <c r="H126">
        <f t="shared" si="7"/>
        <v>1</v>
      </c>
      <c r="I126">
        <f t="shared" si="4"/>
        <v>0</v>
      </c>
      <c r="J126">
        <f t="shared" si="5"/>
        <v>1</v>
      </c>
      <c r="K126">
        <f t="shared" si="6"/>
        <v>0</v>
      </c>
    </row>
    <row r="127" spans="1:11">
      <c r="A127" s="1" t="s">
        <v>206</v>
      </c>
      <c r="B127" s="1" t="s">
        <v>207</v>
      </c>
      <c r="C127" t="s">
        <v>20</v>
      </c>
      <c r="E127" s="1" t="s">
        <v>13</v>
      </c>
      <c r="H127">
        <f t="shared" si="7"/>
        <v>1</v>
      </c>
      <c r="I127">
        <f t="shared" si="4"/>
        <v>0</v>
      </c>
      <c r="J127">
        <f t="shared" si="5"/>
        <v>0</v>
      </c>
      <c r="K127">
        <f t="shared" si="6"/>
        <v>0</v>
      </c>
    </row>
    <row r="128" spans="1:11" ht="28.9">
      <c r="A128" s="1" t="s">
        <v>208</v>
      </c>
      <c r="B128" s="1" t="s">
        <v>19</v>
      </c>
      <c r="C128" t="s">
        <v>24</v>
      </c>
      <c r="E128" s="1" t="s">
        <v>13</v>
      </c>
      <c r="H128">
        <f t="shared" si="7"/>
        <v>0</v>
      </c>
      <c r="I128">
        <f t="shared" si="4"/>
        <v>0</v>
      </c>
      <c r="J128">
        <f t="shared" si="5"/>
        <v>0</v>
      </c>
      <c r="K128">
        <f t="shared" si="6"/>
        <v>0</v>
      </c>
    </row>
    <row r="129" spans="1:11" ht="28.9">
      <c r="A129" s="1" t="s">
        <v>208</v>
      </c>
      <c r="B129" s="1" t="s">
        <v>209</v>
      </c>
      <c r="C129" t="s">
        <v>20</v>
      </c>
      <c r="E129" s="1" t="s">
        <v>13</v>
      </c>
      <c r="H129">
        <f t="shared" si="7"/>
        <v>1</v>
      </c>
      <c r="I129">
        <f t="shared" si="4"/>
        <v>0</v>
      </c>
      <c r="J129">
        <f t="shared" si="5"/>
        <v>0</v>
      </c>
      <c r="K129">
        <f t="shared" si="6"/>
        <v>0</v>
      </c>
    </row>
    <row r="130" spans="1:11" ht="28.9">
      <c r="A130" s="1" t="s">
        <v>210</v>
      </c>
      <c r="B130" s="1" t="s">
        <v>211</v>
      </c>
      <c r="C130" t="s">
        <v>24</v>
      </c>
      <c r="E130" s="1" t="s">
        <v>13</v>
      </c>
      <c r="H130">
        <f t="shared" si="7"/>
        <v>0</v>
      </c>
      <c r="I130">
        <f t="shared" si="4"/>
        <v>0</v>
      </c>
      <c r="J130">
        <f t="shared" si="5"/>
        <v>0</v>
      </c>
      <c r="K130">
        <f t="shared" si="6"/>
        <v>0</v>
      </c>
    </row>
    <row r="131" spans="1:11" ht="28.9">
      <c r="A131" s="1" t="s">
        <v>210</v>
      </c>
      <c r="B131" s="1" t="s">
        <v>132</v>
      </c>
      <c r="C131" t="s">
        <v>24</v>
      </c>
      <c r="E131" s="1" t="s">
        <v>13</v>
      </c>
      <c r="H131">
        <f t="shared" si="7"/>
        <v>0</v>
      </c>
      <c r="I131">
        <f t="shared" ref="I131:I194" si="8">IF(AND(LOWER(C131)="positive", LOWER(E131)="positive"), 1, 0)</f>
        <v>0</v>
      </c>
      <c r="J131">
        <f t="shared" ref="J131:J194" si="9">IF(AND(LOWER(C131)="positive", LOWER(E131)&lt;&gt;"positive"), 1, 0)</f>
        <v>0</v>
      </c>
      <c r="K131">
        <f t="shared" ref="K131:K194" si="10">IF(AND(LOWER(C131)&lt;&gt;"positive", LOWER(E131)="positive"), 1, 0)</f>
        <v>0</v>
      </c>
    </row>
    <row r="132" spans="1:11" ht="28.9">
      <c r="A132" s="1" t="s">
        <v>210</v>
      </c>
      <c r="B132" s="1" t="s">
        <v>212</v>
      </c>
      <c r="C132" t="s">
        <v>24</v>
      </c>
      <c r="E132" s="1" t="s">
        <v>13</v>
      </c>
      <c r="H132">
        <f t="shared" si="7"/>
        <v>0</v>
      </c>
      <c r="I132">
        <f t="shared" si="8"/>
        <v>0</v>
      </c>
      <c r="J132">
        <f t="shared" si="9"/>
        <v>0</v>
      </c>
      <c r="K132">
        <f t="shared" si="10"/>
        <v>0</v>
      </c>
    </row>
    <row r="133" spans="1:11" ht="28.9">
      <c r="A133" s="1" t="s">
        <v>210</v>
      </c>
      <c r="B133" s="1" t="s">
        <v>213</v>
      </c>
      <c r="C133" t="s">
        <v>24</v>
      </c>
      <c r="E133" s="1" t="s">
        <v>13</v>
      </c>
      <c r="H133">
        <f t="shared" si="7"/>
        <v>0</v>
      </c>
      <c r="I133">
        <f t="shared" si="8"/>
        <v>0</v>
      </c>
      <c r="J133">
        <f t="shared" si="9"/>
        <v>0</v>
      </c>
      <c r="K133">
        <f t="shared" si="10"/>
        <v>0</v>
      </c>
    </row>
    <row r="134" spans="1:11" ht="28.9">
      <c r="A134" s="1" t="s">
        <v>210</v>
      </c>
      <c r="B134" s="1" t="s">
        <v>214</v>
      </c>
      <c r="C134" t="s">
        <v>24</v>
      </c>
      <c r="E134" s="1" t="s">
        <v>13</v>
      </c>
      <c r="H134">
        <f t="shared" ref="H134:H197" si="11">IF(LOWER(C134)=LOWER(E134), 0, 1)</f>
        <v>0</v>
      </c>
      <c r="I134">
        <f t="shared" si="8"/>
        <v>0</v>
      </c>
      <c r="J134">
        <f t="shared" si="9"/>
        <v>0</v>
      </c>
      <c r="K134">
        <f t="shared" si="10"/>
        <v>0</v>
      </c>
    </row>
    <row r="135" spans="1:11">
      <c r="A135" s="1" t="s">
        <v>215</v>
      </c>
      <c r="B135" s="1" t="s">
        <v>216</v>
      </c>
      <c r="C135" t="s">
        <v>12</v>
      </c>
      <c r="E135" s="1" t="s">
        <v>16</v>
      </c>
      <c r="H135">
        <f t="shared" si="11"/>
        <v>0</v>
      </c>
      <c r="I135">
        <f t="shared" si="8"/>
        <v>1</v>
      </c>
      <c r="J135">
        <f t="shared" si="9"/>
        <v>0</v>
      </c>
      <c r="K135">
        <f t="shared" si="10"/>
        <v>0</v>
      </c>
    </row>
    <row r="136" spans="1:11">
      <c r="A136" s="1" t="s">
        <v>215</v>
      </c>
      <c r="B136" s="1" t="s">
        <v>217</v>
      </c>
      <c r="C136" t="s">
        <v>12</v>
      </c>
      <c r="E136" s="1" t="s">
        <v>21</v>
      </c>
      <c r="H136">
        <f t="shared" si="11"/>
        <v>1</v>
      </c>
      <c r="I136">
        <f t="shared" si="8"/>
        <v>0</v>
      </c>
      <c r="J136">
        <f t="shared" si="9"/>
        <v>1</v>
      </c>
      <c r="K136">
        <f t="shared" si="10"/>
        <v>0</v>
      </c>
    </row>
    <row r="137" spans="1:11" ht="43.15">
      <c r="A137" s="1" t="s">
        <v>218</v>
      </c>
      <c r="B137" s="1" t="s">
        <v>136</v>
      </c>
      <c r="C137" t="s">
        <v>20</v>
      </c>
      <c r="E137" s="1" t="s">
        <v>21</v>
      </c>
      <c r="H137">
        <f t="shared" si="11"/>
        <v>0</v>
      </c>
      <c r="I137">
        <f t="shared" si="8"/>
        <v>0</v>
      </c>
      <c r="J137">
        <f t="shared" si="9"/>
        <v>0</v>
      </c>
      <c r="K137">
        <f t="shared" si="10"/>
        <v>0</v>
      </c>
    </row>
    <row r="138" spans="1:11" ht="28.9">
      <c r="A138" s="1" t="s">
        <v>219</v>
      </c>
      <c r="B138" s="1" t="s">
        <v>220</v>
      </c>
      <c r="C138" t="s">
        <v>20</v>
      </c>
      <c r="E138" s="1" t="s">
        <v>21</v>
      </c>
      <c r="H138">
        <f t="shared" si="11"/>
        <v>0</v>
      </c>
      <c r="I138">
        <f t="shared" si="8"/>
        <v>0</v>
      </c>
      <c r="J138">
        <f t="shared" si="9"/>
        <v>0</v>
      </c>
      <c r="K138">
        <f t="shared" si="10"/>
        <v>0</v>
      </c>
    </row>
    <row r="139" spans="1:11" ht="28.9">
      <c r="A139" s="1" t="s">
        <v>219</v>
      </c>
      <c r="B139" s="1" t="s">
        <v>140</v>
      </c>
      <c r="C139" t="s">
        <v>20</v>
      </c>
      <c r="E139" s="1" t="s">
        <v>21</v>
      </c>
      <c r="H139">
        <f t="shared" si="11"/>
        <v>0</v>
      </c>
      <c r="I139">
        <f t="shared" si="8"/>
        <v>0</v>
      </c>
      <c r="J139">
        <f t="shared" si="9"/>
        <v>0</v>
      </c>
      <c r="K139">
        <f t="shared" si="10"/>
        <v>0</v>
      </c>
    </row>
    <row r="140" spans="1:11" ht="28.9">
      <c r="A140" s="1" t="s">
        <v>221</v>
      </c>
      <c r="B140" s="1" t="s">
        <v>136</v>
      </c>
      <c r="C140" t="s">
        <v>20</v>
      </c>
      <c r="E140" s="1" t="s">
        <v>16</v>
      </c>
      <c r="H140">
        <f t="shared" si="11"/>
        <v>1</v>
      </c>
      <c r="I140">
        <f t="shared" si="8"/>
        <v>0</v>
      </c>
      <c r="J140">
        <f t="shared" si="9"/>
        <v>0</v>
      </c>
      <c r="K140">
        <f t="shared" si="10"/>
        <v>1</v>
      </c>
    </row>
    <row r="141" spans="1:11" ht="28.9">
      <c r="A141" s="1" t="s">
        <v>222</v>
      </c>
      <c r="B141" s="1" t="s">
        <v>223</v>
      </c>
      <c r="C141" t="s">
        <v>12</v>
      </c>
      <c r="E141" s="1" t="s">
        <v>16</v>
      </c>
      <c r="H141">
        <f t="shared" si="11"/>
        <v>0</v>
      </c>
      <c r="I141">
        <f t="shared" si="8"/>
        <v>1</v>
      </c>
      <c r="J141">
        <f t="shared" si="9"/>
        <v>0</v>
      </c>
      <c r="K141">
        <f t="shared" si="10"/>
        <v>0</v>
      </c>
    </row>
    <row r="142" spans="1:11" ht="28.9">
      <c r="A142" s="1" t="s">
        <v>222</v>
      </c>
      <c r="B142" s="1" t="s">
        <v>29</v>
      </c>
      <c r="C142" t="s">
        <v>12</v>
      </c>
      <c r="E142" s="1" t="s">
        <v>13</v>
      </c>
      <c r="H142">
        <f t="shared" si="11"/>
        <v>1</v>
      </c>
      <c r="I142">
        <f t="shared" si="8"/>
        <v>0</v>
      </c>
      <c r="J142">
        <f t="shared" si="9"/>
        <v>1</v>
      </c>
      <c r="K142">
        <f t="shared" si="10"/>
        <v>0</v>
      </c>
    </row>
    <row r="143" spans="1:11" ht="57.6">
      <c r="A143" s="1" t="s">
        <v>224</v>
      </c>
      <c r="B143" s="1" t="s">
        <v>225</v>
      </c>
      <c r="C143" t="s">
        <v>20</v>
      </c>
      <c r="E143" s="1" t="s">
        <v>21</v>
      </c>
      <c r="H143">
        <f t="shared" si="11"/>
        <v>0</v>
      </c>
      <c r="I143">
        <f t="shared" si="8"/>
        <v>0</v>
      </c>
      <c r="J143">
        <f t="shared" si="9"/>
        <v>0</v>
      </c>
      <c r="K143">
        <f t="shared" si="10"/>
        <v>0</v>
      </c>
    </row>
    <row r="144" spans="1:11" ht="57.6">
      <c r="A144" s="1" t="s">
        <v>224</v>
      </c>
      <c r="B144" s="1" t="s">
        <v>66</v>
      </c>
      <c r="C144" t="s">
        <v>20</v>
      </c>
      <c r="E144" s="1" t="s">
        <v>16</v>
      </c>
      <c r="H144">
        <f t="shared" si="11"/>
        <v>1</v>
      </c>
      <c r="I144">
        <f t="shared" si="8"/>
        <v>0</v>
      </c>
      <c r="J144">
        <f t="shared" si="9"/>
        <v>0</v>
      </c>
      <c r="K144">
        <f t="shared" si="10"/>
        <v>1</v>
      </c>
    </row>
    <row r="145" spans="1:11" ht="28.9">
      <c r="A145" s="1" t="s">
        <v>226</v>
      </c>
      <c r="B145" s="1" t="s">
        <v>227</v>
      </c>
      <c r="C145" t="s">
        <v>12</v>
      </c>
      <c r="E145" s="1" t="s">
        <v>13</v>
      </c>
      <c r="H145">
        <f t="shared" si="11"/>
        <v>1</v>
      </c>
      <c r="I145">
        <f t="shared" si="8"/>
        <v>0</v>
      </c>
      <c r="J145">
        <f t="shared" si="9"/>
        <v>1</v>
      </c>
      <c r="K145">
        <f t="shared" si="10"/>
        <v>0</v>
      </c>
    </row>
    <row r="146" spans="1:11">
      <c r="A146" s="1" t="s">
        <v>226</v>
      </c>
      <c r="B146" s="1" t="s">
        <v>228</v>
      </c>
      <c r="C146" t="s">
        <v>20</v>
      </c>
      <c r="E146" s="1" t="s">
        <v>16</v>
      </c>
      <c r="H146">
        <f t="shared" si="11"/>
        <v>1</v>
      </c>
      <c r="I146">
        <f t="shared" si="8"/>
        <v>0</v>
      </c>
      <c r="J146">
        <f t="shared" si="9"/>
        <v>0</v>
      </c>
      <c r="K146">
        <f t="shared" si="10"/>
        <v>1</v>
      </c>
    </row>
    <row r="147" spans="1:11">
      <c r="A147" s="1" t="s">
        <v>229</v>
      </c>
      <c r="B147" s="1" t="s">
        <v>230</v>
      </c>
      <c r="C147" t="s">
        <v>12</v>
      </c>
      <c r="E147" s="1" t="s">
        <v>21</v>
      </c>
      <c r="H147">
        <f t="shared" si="11"/>
        <v>1</v>
      </c>
      <c r="I147">
        <f t="shared" si="8"/>
        <v>0</v>
      </c>
      <c r="J147">
        <f t="shared" si="9"/>
        <v>1</v>
      </c>
      <c r="K147">
        <f t="shared" si="10"/>
        <v>0</v>
      </c>
    </row>
    <row r="148" spans="1:11" ht="43.15">
      <c r="A148" s="1" t="s">
        <v>231</v>
      </c>
      <c r="B148" s="1" t="s">
        <v>232</v>
      </c>
      <c r="C148" t="s">
        <v>20</v>
      </c>
      <c r="E148" s="1" t="s">
        <v>21</v>
      </c>
      <c r="H148">
        <f t="shared" si="11"/>
        <v>0</v>
      </c>
      <c r="I148">
        <f t="shared" si="8"/>
        <v>0</v>
      </c>
      <c r="J148">
        <f t="shared" si="9"/>
        <v>0</v>
      </c>
      <c r="K148">
        <f t="shared" si="10"/>
        <v>0</v>
      </c>
    </row>
    <row r="149" spans="1:11" ht="28.9">
      <c r="A149" s="1" t="s">
        <v>231</v>
      </c>
      <c r="B149" s="1" t="s">
        <v>233</v>
      </c>
      <c r="C149" t="s">
        <v>20</v>
      </c>
      <c r="E149" s="1" t="s">
        <v>21</v>
      </c>
      <c r="H149">
        <f t="shared" si="11"/>
        <v>0</v>
      </c>
      <c r="I149">
        <f t="shared" si="8"/>
        <v>0</v>
      </c>
      <c r="J149">
        <f t="shared" si="9"/>
        <v>0</v>
      </c>
      <c r="K149">
        <f t="shared" si="10"/>
        <v>0</v>
      </c>
    </row>
    <row r="150" spans="1:11" ht="28.9">
      <c r="A150" s="1" t="s">
        <v>234</v>
      </c>
      <c r="B150" s="1" t="s">
        <v>235</v>
      </c>
      <c r="C150" t="s">
        <v>20</v>
      </c>
      <c r="E150" s="1" t="s">
        <v>16</v>
      </c>
      <c r="H150">
        <f t="shared" si="11"/>
        <v>1</v>
      </c>
      <c r="I150">
        <f t="shared" si="8"/>
        <v>0</v>
      </c>
      <c r="J150">
        <f t="shared" si="9"/>
        <v>0</v>
      </c>
      <c r="K150">
        <f t="shared" si="10"/>
        <v>1</v>
      </c>
    </row>
    <row r="151" spans="1:11" ht="43.15">
      <c r="A151" s="1" t="s">
        <v>236</v>
      </c>
      <c r="B151" s="1" t="s">
        <v>237</v>
      </c>
      <c r="C151" t="s">
        <v>12</v>
      </c>
      <c r="E151" s="1" t="s">
        <v>16</v>
      </c>
      <c r="H151">
        <f t="shared" si="11"/>
        <v>0</v>
      </c>
      <c r="I151">
        <f t="shared" si="8"/>
        <v>1</v>
      </c>
      <c r="J151">
        <f t="shared" si="9"/>
        <v>0</v>
      </c>
      <c r="K151">
        <f t="shared" si="10"/>
        <v>0</v>
      </c>
    </row>
    <row r="152" spans="1:11" ht="28.9">
      <c r="A152" s="1" t="s">
        <v>238</v>
      </c>
      <c r="B152" s="1" t="s">
        <v>239</v>
      </c>
      <c r="C152" t="s">
        <v>12</v>
      </c>
      <c r="E152" s="1" t="s">
        <v>16</v>
      </c>
      <c r="H152">
        <f t="shared" si="11"/>
        <v>0</v>
      </c>
      <c r="I152">
        <f t="shared" si="8"/>
        <v>1</v>
      </c>
      <c r="J152">
        <f t="shared" si="9"/>
        <v>0</v>
      </c>
      <c r="K152">
        <f t="shared" si="10"/>
        <v>0</v>
      </c>
    </row>
    <row r="153" spans="1:11" ht="28.9">
      <c r="A153" s="1" t="s">
        <v>240</v>
      </c>
      <c r="B153" s="1" t="s">
        <v>66</v>
      </c>
      <c r="C153" t="s">
        <v>12</v>
      </c>
      <c r="E153" s="1" t="s">
        <v>13</v>
      </c>
      <c r="H153">
        <f t="shared" si="11"/>
        <v>1</v>
      </c>
      <c r="I153">
        <f t="shared" si="8"/>
        <v>0</v>
      </c>
      <c r="J153">
        <f t="shared" si="9"/>
        <v>1</v>
      </c>
      <c r="K153">
        <f t="shared" si="10"/>
        <v>0</v>
      </c>
    </row>
    <row r="154" spans="1:11" ht="57.6">
      <c r="A154" s="1" t="s">
        <v>240</v>
      </c>
      <c r="B154" s="1" t="s">
        <v>241</v>
      </c>
      <c r="C154" t="s">
        <v>24</v>
      </c>
      <c r="E154" s="1" t="s">
        <v>21</v>
      </c>
      <c r="H154">
        <f t="shared" si="11"/>
        <v>1</v>
      </c>
      <c r="I154">
        <f t="shared" si="8"/>
        <v>0</v>
      </c>
      <c r="J154">
        <f t="shared" si="9"/>
        <v>0</v>
      </c>
      <c r="K154">
        <f t="shared" si="10"/>
        <v>0</v>
      </c>
    </row>
    <row r="155" spans="1:11" ht="43.15">
      <c r="A155" s="1" t="s">
        <v>242</v>
      </c>
      <c r="B155" s="1" t="s">
        <v>243</v>
      </c>
      <c r="C155" t="s">
        <v>20</v>
      </c>
      <c r="H155">
        <f t="shared" si="11"/>
        <v>1</v>
      </c>
      <c r="I155">
        <f t="shared" si="8"/>
        <v>0</v>
      </c>
      <c r="J155">
        <f t="shared" si="9"/>
        <v>0</v>
      </c>
      <c r="K155">
        <f t="shared" si="10"/>
        <v>0</v>
      </c>
    </row>
    <row r="156" spans="1:11">
      <c r="A156" s="1" t="s">
        <v>244</v>
      </c>
      <c r="E156" s="1" t="s">
        <v>13</v>
      </c>
      <c r="H156">
        <f t="shared" si="11"/>
        <v>1</v>
      </c>
      <c r="I156">
        <f t="shared" si="8"/>
        <v>0</v>
      </c>
      <c r="J156">
        <f t="shared" si="9"/>
        <v>0</v>
      </c>
      <c r="K156">
        <f t="shared" si="10"/>
        <v>0</v>
      </c>
    </row>
    <row r="157" spans="1:11">
      <c r="A157" s="1" t="s">
        <v>245</v>
      </c>
      <c r="B157" s="1" t="s">
        <v>50</v>
      </c>
      <c r="C157" t="s">
        <v>20</v>
      </c>
      <c r="E157" s="1" t="s">
        <v>13</v>
      </c>
      <c r="H157">
        <f t="shared" si="11"/>
        <v>1</v>
      </c>
      <c r="I157">
        <f t="shared" si="8"/>
        <v>0</v>
      </c>
      <c r="J157">
        <f t="shared" si="9"/>
        <v>0</v>
      </c>
      <c r="K157">
        <f t="shared" si="10"/>
        <v>0</v>
      </c>
    </row>
    <row r="158" spans="1:11">
      <c r="A158" s="1" t="s">
        <v>246</v>
      </c>
      <c r="B158" s="1" t="s">
        <v>247</v>
      </c>
      <c r="C158" t="s">
        <v>24</v>
      </c>
      <c r="E158" s="1" t="s">
        <v>16</v>
      </c>
      <c r="H158">
        <f t="shared" si="11"/>
        <v>1</v>
      </c>
      <c r="I158">
        <f t="shared" si="8"/>
        <v>0</v>
      </c>
      <c r="J158">
        <f t="shared" si="9"/>
        <v>0</v>
      </c>
      <c r="K158">
        <f t="shared" si="10"/>
        <v>1</v>
      </c>
    </row>
    <row r="159" spans="1:11">
      <c r="A159" s="1" t="s">
        <v>248</v>
      </c>
      <c r="B159" s="1" t="s">
        <v>249</v>
      </c>
      <c r="C159" t="s">
        <v>12</v>
      </c>
      <c r="E159" s="1" t="s">
        <v>21</v>
      </c>
      <c r="H159">
        <f t="shared" si="11"/>
        <v>1</v>
      </c>
      <c r="I159">
        <f t="shared" si="8"/>
        <v>0</v>
      </c>
      <c r="J159">
        <f t="shared" si="9"/>
        <v>1</v>
      </c>
      <c r="K159">
        <f t="shared" si="10"/>
        <v>0</v>
      </c>
    </row>
    <row r="160" spans="1:11" ht="28.9">
      <c r="A160" s="1" t="s">
        <v>250</v>
      </c>
      <c r="B160" s="1" t="s">
        <v>251</v>
      </c>
      <c r="C160" t="s">
        <v>20</v>
      </c>
      <c r="E160" s="1" t="s">
        <v>13</v>
      </c>
      <c r="H160">
        <f t="shared" si="11"/>
        <v>1</v>
      </c>
      <c r="I160">
        <f t="shared" si="8"/>
        <v>0</v>
      </c>
      <c r="J160">
        <f t="shared" si="9"/>
        <v>0</v>
      </c>
      <c r="K160">
        <f t="shared" si="10"/>
        <v>0</v>
      </c>
    </row>
    <row r="161" spans="1:11" ht="28.9">
      <c r="A161" s="1" t="s">
        <v>250</v>
      </c>
      <c r="B161" s="1" t="s">
        <v>252</v>
      </c>
      <c r="C161" t="s">
        <v>20</v>
      </c>
      <c r="E161" s="1" t="s">
        <v>16</v>
      </c>
      <c r="H161">
        <f t="shared" si="11"/>
        <v>1</v>
      </c>
      <c r="I161">
        <f t="shared" si="8"/>
        <v>0</v>
      </c>
      <c r="J161">
        <f t="shared" si="9"/>
        <v>0</v>
      </c>
      <c r="K161">
        <f t="shared" si="10"/>
        <v>1</v>
      </c>
    </row>
    <row r="162" spans="1:11" ht="43.15">
      <c r="A162" s="1" t="s">
        <v>253</v>
      </c>
      <c r="B162" s="1" t="s">
        <v>254</v>
      </c>
      <c r="C162" t="s">
        <v>12</v>
      </c>
      <c r="E162" s="1" t="s">
        <v>16</v>
      </c>
      <c r="H162">
        <f t="shared" si="11"/>
        <v>0</v>
      </c>
      <c r="I162">
        <f t="shared" si="8"/>
        <v>1</v>
      </c>
      <c r="J162">
        <f t="shared" si="9"/>
        <v>0</v>
      </c>
      <c r="K162">
        <f t="shared" si="10"/>
        <v>0</v>
      </c>
    </row>
    <row r="163" spans="1:11" ht="43.15">
      <c r="A163" s="1" t="s">
        <v>253</v>
      </c>
      <c r="B163" s="1" t="s">
        <v>60</v>
      </c>
      <c r="C163" t="s">
        <v>12</v>
      </c>
      <c r="E163" s="1" t="s">
        <v>16</v>
      </c>
      <c r="H163">
        <f t="shared" si="11"/>
        <v>0</v>
      </c>
      <c r="I163">
        <f t="shared" si="8"/>
        <v>1</v>
      </c>
      <c r="J163">
        <f t="shared" si="9"/>
        <v>0</v>
      </c>
      <c r="K163">
        <f t="shared" si="10"/>
        <v>0</v>
      </c>
    </row>
    <row r="164" spans="1:11" ht="43.15">
      <c r="A164" s="1" t="s">
        <v>253</v>
      </c>
      <c r="B164" s="1" t="s">
        <v>255</v>
      </c>
      <c r="C164" t="s">
        <v>12</v>
      </c>
      <c r="E164" s="1" t="s">
        <v>16</v>
      </c>
      <c r="H164">
        <f t="shared" si="11"/>
        <v>0</v>
      </c>
      <c r="I164">
        <f t="shared" si="8"/>
        <v>1</v>
      </c>
      <c r="J164">
        <f t="shared" si="9"/>
        <v>0</v>
      </c>
      <c r="K164">
        <f t="shared" si="10"/>
        <v>0</v>
      </c>
    </row>
    <row r="165" spans="1:11">
      <c r="A165" s="1" t="s">
        <v>256</v>
      </c>
      <c r="B165" s="1" t="s">
        <v>114</v>
      </c>
      <c r="C165" t="s">
        <v>12</v>
      </c>
      <c r="E165" s="1" t="s">
        <v>13</v>
      </c>
      <c r="H165">
        <f t="shared" si="11"/>
        <v>1</v>
      </c>
      <c r="I165">
        <f t="shared" si="8"/>
        <v>0</v>
      </c>
      <c r="J165">
        <f t="shared" si="9"/>
        <v>1</v>
      </c>
      <c r="K165">
        <f t="shared" si="10"/>
        <v>0</v>
      </c>
    </row>
    <row r="166" spans="1:11" ht="43.15">
      <c r="A166" s="1" t="s">
        <v>257</v>
      </c>
      <c r="B166" s="1" t="s">
        <v>258</v>
      </c>
      <c r="C166" t="s">
        <v>20</v>
      </c>
      <c r="E166" s="1" t="s">
        <v>21</v>
      </c>
      <c r="H166">
        <f t="shared" si="11"/>
        <v>0</v>
      </c>
      <c r="I166">
        <f t="shared" si="8"/>
        <v>0</v>
      </c>
      <c r="J166">
        <f t="shared" si="9"/>
        <v>0</v>
      </c>
      <c r="K166">
        <f t="shared" si="10"/>
        <v>0</v>
      </c>
    </row>
    <row r="167" spans="1:11" ht="57.6">
      <c r="A167" s="1" t="s">
        <v>259</v>
      </c>
      <c r="B167" s="1" t="s">
        <v>50</v>
      </c>
      <c r="C167" t="s">
        <v>20</v>
      </c>
      <c r="E167" s="1" t="s">
        <v>13</v>
      </c>
      <c r="H167">
        <f t="shared" si="11"/>
        <v>1</v>
      </c>
      <c r="I167">
        <f t="shared" si="8"/>
        <v>0</v>
      </c>
      <c r="J167">
        <f t="shared" si="9"/>
        <v>0</v>
      </c>
      <c r="K167">
        <f t="shared" si="10"/>
        <v>0</v>
      </c>
    </row>
    <row r="168" spans="1:11" ht="57.6">
      <c r="A168" s="1" t="s">
        <v>259</v>
      </c>
      <c r="B168" s="1" t="s">
        <v>260</v>
      </c>
      <c r="C168" t="s">
        <v>20</v>
      </c>
      <c r="E168" s="1" t="s">
        <v>16</v>
      </c>
      <c r="H168">
        <f t="shared" si="11"/>
        <v>1</v>
      </c>
      <c r="I168">
        <f t="shared" si="8"/>
        <v>0</v>
      </c>
      <c r="J168">
        <f t="shared" si="9"/>
        <v>0</v>
      </c>
      <c r="K168">
        <f t="shared" si="10"/>
        <v>1</v>
      </c>
    </row>
    <row r="169" spans="1:11" ht="43.15">
      <c r="A169" s="1" t="s">
        <v>261</v>
      </c>
      <c r="B169" s="1" t="s">
        <v>262</v>
      </c>
      <c r="C169" t="s">
        <v>12</v>
      </c>
      <c r="E169" s="1" t="s">
        <v>16</v>
      </c>
      <c r="H169">
        <f t="shared" si="11"/>
        <v>0</v>
      </c>
      <c r="I169">
        <f t="shared" si="8"/>
        <v>1</v>
      </c>
      <c r="J169">
        <f t="shared" si="9"/>
        <v>0</v>
      </c>
      <c r="K169">
        <f t="shared" si="10"/>
        <v>0</v>
      </c>
    </row>
    <row r="170" spans="1:11" ht="43.15">
      <c r="A170" s="1" t="s">
        <v>261</v>
      </c>
      <c r="B170" s="1" t="s">
        <v>79</v>
      </c>
      <c r="C170" t="s">
        <v>12</v>
      </c>
      <c r="E170" s="1" t="s">
        <v>16</v>
      </c>
      <c r="H170">
        <f t="shared" si="11"/>
        <v>0</v>
      </c>
      <c r="I170">
        <f t="shared" si="8"/>
        <v>1</v>
      </c>
      <c r="J170">
        <f t="shared" si="9"/>
        <v>0</v>
      </c>
      <c r="K170">
        <f t="shared" si="10"/>
        <v>0</v>
      </c>
    </row>
    <row r="171" spans="1:11" ht="43.15">
      <c r="A171" s="1" t="s">
        <v>261</v>
      </c>
      <c r="B171" s="1" t="s">
        <v>263</v>
      </c>
      <c r="C171" t="s">
        <v>20</v>
      </c>
      <c r="E171" s="1" t="s">
        <v>16</v>
      </c>
      <c r="H171">
        <f t="shared" si="11"/>
        <v>1</v>
      </c>
      <c r="I171">
        <f t="shared" si="8"/>
        <v>0</v>
      </c>
      <c r="J171">
        <f t="shared" si="9"/>
        <v>0</v>
      </c>
      <c r="K171">
        <f t="shared" si="10"/>
        <v>1</v>
      </c>
    </row>
    <row r="172" spans="1:11" ht="43.15">
      <c r="A172" s="1" t="s">
        <v>264</v>
      </c>
      <c r="B172" s="1" t="s">
        <v>265</v>
      </c>
      <c r="C172" t="s">
        <v>12</v>
      </c>
      <c r="E172" s="1" t="s">
        <v>13</v>
      </c>
      <c r="H172">
        <f t="shared" si="11"/>
        <v>1</v>
      </c>
      <c r="I172">
        <f t="shared" si="8"/>
        <v>0</v>
      </c>
      <c r="J172">
        <f t="shared" si="9"/>
        <v>1</v>
      </c>
      <c r="K172">
        <f t="shared" si="10"/>
        <v>0</v>
      </c>
    </row>
    <row r="173" spans="1:11" ht="43.15">
      <c r="A173" s="1" t="s">
        <v>264</v>
      </c>
      <c r="B173" s="1" t="s">
        <v>169</v>
      </c>
      <c r="C173" t="s">
        <v>24</v>
      </c>
      <c r="E173" s="1" t="s">
        <v>13</v>
      </c>
      <c r="H173">
        <f t="shared" si="11"/>
        <v>0</v>
      </c>
      <c r="I173">
        <f t="shared" si="8"/>
        <v>0</v>
      </c>
      <c r="J173">
        <f t="shared" si="9"/>
        <v>0</v>
      </c>
      <c r="K173">
        <f t="shared" si="10"/>
        <v>0</v>
      </c>
    </row>
    <row r="174" spans="1:11" ht="43.15">
      <c r="A174" s="1" t="s">
        <v>264</v>
      </c>
      <c r="B174" s="1" t="s">
        <v>136</v>
      </c>
      <c r="C174" t="s">
        <v>24</v>
      </c>
      <c r="E174" s="1" t="s">
        <v>13</v>
      </c>
      <c r="H174">
        <f t="shared" si="11"/>
        <v>0</v>
      </c>
      <c r="I174">
        <f t="shared" si="8"/>
        <v>0</v>
      </c>
      <c r="J174">
        <f t="shared" si="9"/>
        <v>0</v>
      </c>
      <c r="K174">
        <f t="shared" si="10"/>
        <v>0</v>
      </c>
    </row>
    <row r="175" spans="1:11" ht="28.9">
      <c r="A175" s="1" t="s">
        <v>266</v>
      </c>
      <c r="B175" s="1" t="s">
        <v>60</v>
      </c>
      <c r="C175" t="s">
        <v>12</v>
      </c>
      <c r="E175" s="1" t="s">
        <v>13</v>
      </c>
      <c r="H175">
        <f t="shared" si="11"/>
        <v>1</v>
      </c>
      <c r="I175">
        <f t="shared" si="8"/>
        <v>0</v>
      </c>
      <c r="J175">
        <f t="shared" si="9"/>
        <v>1</v>
      </c>
      <c r="K175">
        <f t="shared" si="10"/>
        <v>0</v>
      </c>
    </row>
    <row r="176" spans="1:11" ht="43.15">
      <c r="A176" s="1" t="s">
        <v>266</v>
      </c>
      <c r="B176" s="1" t="s">
        <v>267</v>
      </c>
      <c r="C176" t="s">
        <v>12</v>
      </c>
      <c r="E176" s="1" t="s">
        <v>13</v>
      </c>
      <c r="H176">
        <f t="shared" si="11"/>
        <v>1</v>
      </c>
      <c r="I176">
        <f t="shared" si="8"/>
        <v>0</v>
      </c>
      <c r="J176">
        <f t="shared" si="9"/>
        <v>1</v>
      </c>
      <c r="K176">
        <f t="shared" si="10"/>
        <v>0</v>
      </c>
    </row>
    <row r="177" spans="1:11" ht="28.9">
      <c r="A177" s="1" t="s">
        <v>266</v>
      </c>
      <c r="B177" s="1" t="s">
        <v>268</v>
      </c>
      <c r="C177" t="s">
        <v>12</v>
      </c>
      <c r="E177" s="1" t="s">
        <v>16</v>
      </c>
      <c r="H177">
        <f t="shared" si="11"/>
        <v>0</v>
      </c>
      <c r="I177">
        <f t="shared" si="8"/>
        <v>1</v>
      </c>
      <c r="J177">
        <f t="shared" si="9"/>
        <v>0</v>
      </c>
      <c r="K177">
        <f t="shared" si="10"/>
        <v>0</v>
      </c>
    </row>
    <row r="178" spans="1:11" ht="43.15">
      <c r="A178" s="1" t="s">
        <v>269</v>
      </c>
      <c r="B178" s="1" t="s">
        <v>114</v>
      </c>
      <c r="C178" t="s">
        <v>12</v>
      </c>
      <c r="E178" s="1" t="s">
        <v>13</v>
      </c>
      <c r="H178">
        <f t="shared" si="11"/>
        <v>1</v>
      </c>
      <c r="I178">
        <f t="shared" si="8"/>
        <v>0</v>
      </c>
      <c r="J178">
        <f t="shared" si="9"/>
        <v>1</v>
      </c>
      <c r="K178">
        <f t="shared" si="10"/>
        <v>0</v>
      </c>
    </row>
    <row r="179" spans="1:11" ht="43.15">
      <c r="A179" s="1" t="s">
        <v>269</v>
      </c>
      <c r="B179" s="1" t="s">
        <v>251</v>
      </c>
      <c r="C179" t="s">
        <v>12</v>
      </c>
      <c r="E179" s="1" t="s">
        <v>13</v>
      </c>
      <c r="H179">
        <f t="shared" si="11"/>
        <v>1</v>
      </c>
      <c r="I179">
        <f t="shared" si="8"/>
        <v>0</v>
      </c>
      <c r="J179">
        <f t="shared" si="9"/>
        <v>1</v>
      </c>
      <c r="K179">
        <f t="shared" si="10"/>
        <v>0</v>
      </c>
    </row>
    <row r="180" spans="1:11" ht="28.9">
      <c r="A180" s="1" t="s">
        <v>270</v>
      </c>
      <c r="B180" s="1" t="s">
        <v>271</v>
      </c>
      <c r="C180" t="s">
        <v>24</v>
      </c>
      <c r="E180" s="1" t="s">
        <v>16</v>
      </c>
      <c r="H180">
        <f t="shared" si="11"/>
        <v>1</v>
      </c>
      <c r="I180">
        <f t="shared" si="8"/>
        <v>0</v>
      </c>
      <c r="J180">
        <f t="shared" si="9"/>
        <v>0</v>
      </c>
      <c r="K180">
        <f t="shared" si="10"/>
        <v>1</v>
      </c>
    </row>
    <row r="181" spans="1:11" ht="43.15">
      <c r="A181" s="1" t="s">
        <v>272</v>
      </c>
      <c r="B181" s="1" t="s">
        <v>186</v>
      </c>
      <c r="C181" t="s">
        <v>12</v>
      </c>
      <c r="E181" s="1" t="s">
        <v>16</v>
      </c>
      <c r="H181">
        <f t="shared" si="11"/>
        <v>0</v>
      </c>
      <c r="I181">
        <f t="shared" si="8"/>
        <v>1</v>
      </c>
      <c r="J181">
        <f t="shared" si="9"/>
        <v>0</v>
      </c>
      <c r="K181">
        <f t="shared" si="10"/>
        <v>0</v>
      </c>
    </row>
    <row r="182" spans="1:11" ht="43.15">
      <c r="A182" s="1" t="s">
        <v>272</v>
      </c>
      <c r="B182" s="1" t="s">
        <v>273</v>
      </c>
      <c r="C182" t="s">
        <v>12</v>
      </c>
      <c r="E182" s="1" t="s">
        <v>13</v>
      </c>
      <c r="H182">
        <f t="shared" si="11"/>
        <v>1</v>
      </c>
      <c r="I182">
        <f t="shared" si="8"/>
        <v>0</v>
      </c>
      <c r="J182">
        <f t="shared" si="9"/>
        <v>1</v>
      </c>
      <c r="K182">
        <f t="shared" si="10"/>
        <v>0</v>
      </c>
    </row>
    <row r="183" spans="1:11" ht="43.15">
      <c r="A183" s="1" t="s">
        <v>272</v>
      </c>
      <c r="B183" s="1" t="s">
        <v>274</v>
      </c>
      <c r="C183" t="s">
        <v>12</v>
      </c>
      <c r="H183">
        <f t="shared" si="11"/>
        <v>1</v>
      </c>
      <c r="I183">
        <f t="shared" si="8"/>
        <v>0</v>
      </c>
      <c r="J183">
        <f t="shared" si="9"/>
        <v>1</v>
      </c>
      <c r="K183">
        <f t="shared" si="10"/>
        <v>0</v>
      </c>
    </row>
    <row r="184" spans="1:11" ht="28.9">
      <c r="A184" s="1" t="s">
        <v>275</v>
      </c>
      <c r="E184" s="1" t="s">
        <v>13</v>
      </c>
      <c r="H184">
        <f t="shared" si="11"/>
        <v>1</v>
      </c>
      <c r="I184">
        <f t="shared" si="8"/>
        <v>0</v>
      </c>
      <c r="J184">
        <f t="shared" si="9"/>
        <v>0</v>
      </c>
      <c r="K184">
        <f t="shared" si="10"/>
        <v>0</v>
      </c>
    </row>
    <row r="185" spans="1:11" ht="43.15">
      <c r="A185" s="1" t="s">
        <v>276</v>
      </c>
      <c r="B185" s="1" t="s">
        <v>84</v>
      </c>
      <c r="C185" t="s">
        <v>12</v>
      </c>
      <c r="E185" s="1" t="s">
        <v>16</v>
      </c>
      <c r="H185">
        <f t="shared" si="11"/>
        <v>0</v>
      </c>
      <c r="I185">
        <f t="shared" si="8"/>
        <v>1</v>
      </c>
      <c r="J185">
        <f t="shared" si="9"/>
        <v>0</v>
      </c>
      <c r="K185">
        <f t="shared" si="10"/>
        <v>0</v>
      </c>
    </row>
    <row r="186" spans="1:11">
      <c r="A186" s="1" t="s">
        <v>277</v>
      </c>
      <c r="B186" s="1" t="s">
        <v>129</v>
      </c>
      <c r="C186" t="s">
        <v>20</v>
      </c>
      <c r="E186" s="1" t="s">
        <v>16</v>
      </c>
      <c r="H186">
        <f t="shared" si="11"/>
        <v>1</v>
      </c>
      <c r="I186">
        <f t="shared" si="8"/>
        <v>0</v>
      </c>
      <c r="J186">
        <f t="shared" si="9"/>
        <v>0</v>
      </c>
      <c r="K186">
        <f t="shared" si="10"/>
        <v>1</v>
      </c>
    </row>
    <row r="187" spans="1:11" ht="28.9">
      <c r="A187" s="1" t="s">
        <v>278</v>
      </c>
      <c r="B187" s="1" t="s">
        <v>279</v>
      </c>
      <c r="C187" t="s">
        <v>12</v>
      </c>
      <c r="E187" s="1" t="s">
        <v>16</v>
      </c>
      <c r="H187">
        <f t="shared" si="11"/>
        <v>0</v>
      </c>
      <c r="I187">
        <f t="shared" si="8"/>
        <v>1</v>
      </c>
      <c r="J187">
        <f t="shared" si="9"/>
        <v>0</v>
      </c>
      <c r="K187">
        <f t="shared" si="10"/>
        <v>0</v>
      </c>
    </row>
    <row r="188" spans="1:11" ht="28.9">
      <c r="A188" s="1" t="s">
        <v>280</v>
      </c>
      <c r="B188" s="1" t="s">
        <v>15</v>
      </c>
      <c r="C188" t="s">
        <v>12</v>
      </c>
      <c r="E188" s="1" t="s">
        <v>13</v>
      </c>
      <c r="H188">
        <f t="shared" si="11"/>
        <v>1</v>
      </c>
      <c r="I188">
        <f t="shared" si="8"/>
        <v>0</v>
      </c>
      <c r="J188">
        <f t="shared" si="9"/>
        <v>1</v>
      </c>
      <c r="K188">
        <f t="shared" si="10"/>
        <v>0</v>
      </c>
    </row>
    <row r="189" spans="1:11">
      <c r="A189" s="1" t="s">
        <v>281</v>
      </c>
      <c r="B189" s="1" t="s">
        <v>251</v>
      </c>
      <c r="C189" t="s">
        <v>20</v>
      </c>
      <c r="E189" s="1" t="s">
        <v>21</v>
      </c>
      <c r="H189">
        <f t="shared" si="11"/>
        <v>0</v>
      </c>
      <c r="I189">
        <f t="shared" si="8"/>
        <v>0</v>
      </c>
      <c r="J189">
        <f t="shared" si="9"/>
        <v>0</v>
      </c>
      <c r="K189">
        <f t="shared" si="10"/>
        <v>0</v>
      </c>
    </row>
    <row r="190" spans="1:11" ht="57.6">
      <c r="A190" s="1" t="s">
        <v>282</v>
      </c>
      <c r="B190" s="1" t="s">
        <v>283</v>
      </c>
      <c r="C190" t="s">
        <v>20</v>
      </c>
      <c r="E190" s="1" t="s">
        <v>21</v>
      </c>
      <c r="H190">
        <f t="shared" si="11"/>
        <v>0</v>
      </c>
      <c r="I190">
        <f t="shared" si="8"/>
        <v>0</v>
      </c>
      <c r="J190">
        <f t="shared" si="9"/>
        <v>0</v>
      </c>
      <c r="K190">
        <f t="shared" si="10"/>
        <v>0</v>
      </c>
    </row>
    <row r="191" spans="1:11" ht="57.6">
      <c r="A191" s="1" t="s">
        <v>282</v>
      </c>
      <c r="B191" s="1" t="s">
        <v>284</v>
      </c>
      <c r="C191" t="s">
        <v>20</v>
      </c>
      <c r="E191" s="1" t="s">
        <v>16</v>
      </c>
      <c r="H191">
        <f t="shared" si="11"/>
        <v>1</v>
      </c>
      <c r="I191">
        <f t="shared" si="8"/>
        <v>0</v>
      </c>
      <c r="J191">
        <f t="shared" si="9"/>
        <v>0</v>
      </c>
      <c r="K191">
        <f t="shared" si="10"/>
        <v>1</v>
      </c>
    </row>
    <row r="192" spans="1:11" ht="57.6">
      <c r="A192" s="1" t="s">
        <v>282</v>
      </c>
      <c r="B192" s="1" t="s">
        <v>285</v>
      </c>
      <c r="C192" t="s">
        <v>12</v>
      </c>
      <c r="E192" s="1" t="s">
        <v>16</v>
      </c>
      <c r="H192">
        <f t="shared" si="11"/>
        <v>0</v>
      </c>
      <c r="I192">
        <f t="shared" si="8"/>
        <v>1</v>
      </c>
      <c r="J192">
        <f t="shared" si="9"/>
        <v>0</v>
      </c>
      <c r="K192">
        <f t="shared" si="10"/>
        <v>0</v>
      </c>
    </row>
    <row r="193" spans="1:11" ht="57.6">
      <c r="A193" s="1" t="s">
        <v>282</v>
      </c>
      <c r="B193" s="1" t="s">
        <v>286</v>
      </c>
      <c r="C193" t="s">
        <v>12</v>
      </c>
      <c r="E193" s="1" t="s">
        <v>21</v>
      </c>
      <c r="H193">
        <f t="shared" si="11"/>
        <v>1</v>
      </c>
      <c r="I193">
        <f t="shared" si="8"/>
        <v>0</v>
      </c>
      <c r="J193">
        <f t="shared" si="9"/>
        <v>1</v>
      </c>
      <c r="K193">
        <f t="shared" si="10"/>
        <v>0</v>
      </c>
    </row>
    <row r="194" spans="1:11" ht="28.9">
      <c r="A194" s="1" t="s">
        <v>287</v>
      </c>
      <c r="B194" s="1" t="s">
        <v>288</v>
      </c>
      <c r="C194" t="s">
        <v>20</v>
      </c>
      <c r="E194" s="1" t="s">
        <v>21</v>
      </c>
      <c r="H194">
        <f t="shared" si="11"/>
        <v>0</v>
      </c>
      <c r="I194">
        <f t="shared" si="8"/>
        <v>0</v>
      </c>
      <c r="J194">
        <f t="shared" si="9"/>
        <v>0</v>
      </c>
      <c r="K194">
        <f t="shared" si="10"/>
        <v>0</v>
      </c>
    </row>
    <row r="195" spans="1:11" ht="28.9">
      <c r="A195" s="1" t="s">
        <v>287</v>
      </c>
      <c r="B195" s="1" t="s">
        <v>289</v>
      </c>
      <c r="C195" t="s">
        <v>20</v>
      </c>
      <c r="E195" s="1" t="s">
        <v>13</v>
      </c>
      <c r="H195">
        <f t="shared" si="11"/>
        <v>1</v>
      </c>
      <c r="I195">
        <f t="shared" ref="I195:I258" si="12">IF(AND(LOWER(C195)="positive", LOWER(E195)="positive"), 1, 0)</f>
        <v>0</v>
      </c>
      <c r="J195">
        <f t="shared" ref="J195:J258" si="13">IF(AND(LOWER(C195)="positive", LOWER(E195)&lt;&gt;"positive"), 1, 0)</f>
        <v>0</v>
      </c>
      <c r="K195">
        <f t="shared" ref="K195:K258" si="14">IF(AND(LOWER(C195)&lt;&gt;"positive", LOWER(E195)="positive"), 1, 0)</f>
        <v>0</v>
      </c>
    </row>
    <row r="196" spans="1:11" ht="28.9">
      <c r="A196" s="1" t="s">
        <v>290</v>
      </c>
      <c r="B196" s="1" t="s">
        <v>211</v>
      </c>
      <c r="C196" t="s">
        <v>24</v>
      </c>
      <c r="E196" s="1" t="s">
        <v>16</v>
      </c>
      <c r="H196">
        <f t="shared" si="11"/>
        <v>1</v>
      </c>
      <c r="I196">
        <f t="shared" si="12"/>
        <v>0</v>
      </c>
      <c r="J196">
        <f t="shared" si="13"/>
        <v>0</v>
      </c>
      <c r="K196">
        <f t="shared" si="14"/>
        <v>1</v>
      </c>
    </row>
    <row r="197" spans="1:11" ht="28.9">
      <c r="A197" s="1" t="s">
        <v>290</v>
      </c>
      <c r="B197" s="1" t="s">
        <v>291</v>
      </c>
      <c r="C197" t="s">
        <v>12</v>
      </c>
      <c r="E197" s="1" t="s">
        <v>13</v>
      </c>
      <c r="H197">
        <f t="shared" si="11"/>
        <v>1</v>
      </c>
      <c r="I197">
        <f t="shared" si="12"/>
        <v>0</v>
      </c>
      <c r="J197">
        <f t="shared" si="13"/>
        <v>1</v>
      </c>
      <c r="K197">
        <f t="shared" si="14"/>
        <v>0</v>
      </c>
    </row>
    <row r="198" spans="1:11" ht="43.15">
      <c r="A198" s="1" t="s">
        <v>292</v>
      </c>
      <c r="B198" s="1" t="s">
        <v>293</v>
      </c>
      <c r="C198" t="s">
        <v>12</v>
      </c>
      <c r="E198" s="1" t="s">
        <v>13</v>
      </c>
      <c r="H198">
        <f t="shared" ref="H198:H261" si="15">IF(LOWER(C198)=LOWER(E198), 0, 1)</f>
        <v>1</v>
      </c>
      <c r="I198">
        <f t="shared" si="12"/>
        <v>0</v>
      </c>
      <c r="J198">
        <f t="shared" si="13"/>
        <v>1</v>
      </c>
      <c r="K198">
        <f t="shared" si="14"/>
        <v>0</v>
      </c>
    </row>
    <row r="199" spans="1:11" ht="28.9">
      <c r="A199" s="1" t="s">
        <v>294</v>
      </c>
      <c r="B199" s="1" t="s">
        <v>169</v>
      </c>
      <c r="C199" t="s">
        <v>20</v>
      </c>
      <c r="E199" s="1" t="s">
        <v>13</v>
      </c>
      <c r="H199">
        <f t="shared" si="15"/>
        <v>1</v>
      </c>
      <c r="I199">
        <f t="shared" si="12"/>
        <v>0</v>
      </c>
      <c r="J199">
        <f t="shared" si="13"/>
        <v>0</v>
      </c>
      <c r="K199">
        <f t="shared" si="14"/>
        <v>0</v>
      </c>
    </row>
    <row r="200" spans="1:11" ht="28.9">
      <c r="A200" s="1" t="s">
        <v>295</v>
      </c>
      <c r="B200" s="1" t="s">
        <v>296</v>
      </c>
      <c r="C200" t="s">
        <v>12</v>
      </c>
      <c r="E200" s="1" t="s">
        <v>13</v>
      </c>
      <c r="H200">
        <f t="shared" si="15"/>
        <v>1</v>
      </c>
      <c r="I200">
        <f t="shared" si="12"/>
        <v>0</v>
      </c>
      <c r="J200">
        <f t="shared" si="13"/>
        <v>1</v>
      </c>
      <c r="K200">
        <f t="shared" si="14"/>
        <v>0</v>
      </c>
    </row>
    <row r="201" spans="1:11" ht="28.9">
      <c r="A201" s="1" t="s">
        <v>295</v>
      </c>
      <c r="B201" s="1" t="s">
        <v>297</v>
      </c>
      <c r="C201" t="s">
        <v>12</v>
      </c>
      <c r="E201" s="1" t="s">
        <v>21</v>
      </c>
      <c r="H201">
        <f t="shared" si="15"/>
        <v>1</v>
      </c>
      <c r="I201">
        <f t="shared" si="12"/>
        <v>0</v>
      </c>
      <c r="J201">
        <f t="shared" si="13"/>
        <v>1</v>
      </c>
      <c r="K201">
        <f t="shared" si="14"/>
        <v>0</v>
      </c>
    </row>
    <row r="202" spans="1:11" ht="43.15">
      <c r="A202" s="1" t="s">
        <v>298</v>
      </c>
      <c r="B202" s="1" t="s">
        <v>299</v>
      </c>
      <c r="C202" t="s">
        <v>20</v>
      </c>
      <c r="E202" s="1" t="s">
        <v>16</v>
      </c>
      <c r="H202">
        <f t="shared" si="15"/>
        <v>1</v>
      </c>
      <c r="I202">
        <f t="shared" si="12"/>
        <v>0</v>
      </c>
      <c r="J202">
        <f t="shared" si="13"/>
        <v>0</v>
      </c>
      <c r="K202">
        <f t="shared" si="14"/>
        <v>1</v>
      </c>
    </row>
    <row r="203" spans="1:11" ht="43.15">
      <c r="A203" s="1" t="s">
        <v>298</v>
      </c>
      <c r="B203" s="1" t="s">
        <v>300</v>
      </c>
      <c r="C203" t="s">
        <v>12</v>
      </c>
      <c r="E203" s="1" t="s">
        <v>13</v>
      </c>
      <c r="H203">
        <f t="shared" si="15"/>
        <v>1</v>
      </c>
      <c r="I203">
        <f t="shared" si="12"/>
        <v>0</v>
      </c>
      <c r="J203">
        <f t="shared" si="13"/>
        <v>1</v>
      </c>
      <c r="K203">
        <f t="shared" si="14"/>
        <v>0</v>
      </c>
    </row>
    <row r="204" spans="1:11" ht="43.15">
      <c r="A204" s="1" t="s">
        <v>301</v>
      </c>
      <c r="B204" s="1" t="s">
        <v>302</v>
      </c>
      <c r="C204" t="s">
        <v>20</v>
      </c>
      <c r="E204" s="1" t="s">
        <v>13</v>
      </c>
      <c r="H204">
        <f t="shared" si="15"/>
        <v>1</v>
      </c>
      <c r="I204">
        <f t="shared" si="12"/>
        <v>0</v>
      </c>
      <c r="J204">
        <f t="shared" si="13"/>
        <v>0</v>
      </c>
      <c r="K204">
        <f t="shared" si="14"/>
        <v>0</v>
      </c>
    </row>
    <row r="205" spans="1:11" ht="43.15">
      <c r="A205" s="1" t="s">
        <v>301</v>
      </c>
      <c r="B205" s="1" t="s">
        <v>303</v>
      </c>
      <c r="C205" t="s">
        <v>20</v>
      </c>
      <c r="E205" s="1" t="s">
        <v>21</v>
      </c>
      <c r="H205">
        <f t="shared" si="15"/>
        <v>0</v>
      </c>
      <c r="I205">
        <f t="shared" si="12"/>
        <v>0</v>
      </c>
      <c r="J205">
        <f t="shared" si="13"/>
        <v>0</v>
      </c>
      <c r="K205">
        <f t="shared" si="14"/>
        <v>0</v>
      </c>
    </row>
    <row r="206" spans="1:11" ht="43.15">
      <c r="A206" s="1" t="s">
        <v>301</v>
      </c>
      <c r="B206" s="1" t="s">
        <v>304</v>
      </c>
      <c r="C206" t="s">
        <v>20</v>
      </c>
      <c r="E206" s="1" t="s">
        <v>16</v>
      </c>
      <c r="H206">
        <f t="shared" si="15"/>
        <v>1</v>
      </c>
      <c r="I206">
        <f t="shared" si="12"/>
        <v>0</v>
      </c>
      <c r="J206">
        <f t="shared" si="13"/>
        <v>0</v>
      </c>
      <c r="K206">
        <f t="shared" si="14"/>
        <v>1</v>
      </c>
    </row>
    <row r="207" spans="1:11">
      <c r="A207" s="1" t="s">
        <v>305</v>
      </c>
      <c r="B207" s="1" t="s">
        <v>50</v>
      </c>
      <c r="C207" t="s">
        <v>12</v>
      </c>
      <c r="E207" s="1" t="s">
        <v>16</v>
      </c>
      <c r="H207">
        <f t="shared" si="15"/>
        <v>0</v>
      </c>
      <c r="I207">
        <f t="shared" si="12"/>
        <v>1</v>
      </c>
      <c r="J207">
        <f t="shared" si="13"/>
        <v>0</v>
      </c>
      <c r="K207">
        <f t="shared" si="14"/>
        <v>0</v>
      </c>
    </row>
    <row r="208" spans="1:11">
      <c r="A208" s="1" t="s">
        <v>305</v>
      </c>
      <c r="B208" s="1" t="s">
        <v>60</v>
      </c>
      <c r="C208" t="s">
        <v>12</v>
      </c>
      <c r="E208" s="1" t="s">
        <v>16</v>
      </c>
      <c r="H208">
        <f t="shared" si="15"/>
        <v>0</v>
      </c>
      <c r="I208">
        <f t="shared" si="12"/>
        <v>1</v>
      </c>
      <c r="J208">
        <f t="shared" si="13"/>
        <v>0</v>
      </c>
      <c r="K208">
        <f t="shared" si="14"/>
        <v>0</v>
      </c>
    </row>
    <row r="209" spans="1:11">
      <c r="A209" s="1" t="s">
        <v>305</v>
      </c>
      <c r="B209" s="1" t="s">
        <v>306</v>
      </c>
      <c r="C209" t="s">
        <v>12</v>
      </c>
      <c r="E209" s="1" t="s">
        <v>16</v>
      </c>
      <c r="H209">
        <f t="shared" si="15"/>
        <v>0</v>
      </c>
      <c r="I209">
        <f t="shared" si="12"/>
        <v>1</v>
      </c>
      <c r="J209">
        <f t="shared" si="13"/>
        <v>0</v>
      </c>
      <c r="K209">
        <f t="shared" si="14"/>
        <v>0</v>
      </c>
    </row>
    <row r="210" spans="1:11" ht="28.9">
      <c r="A210" s="1" t="s">
        <v>307</v>
      </c>
      <c r="B210" s="1" t="s">
        <v>308</v>
      </c>
      <c r="C210" t="s">
        <v>12</v>
      </c>
      <c r="E210" s="1" t="s">
        <v>16</v>
      </c>
      <c r="H210">
        <f t="shared" si="15"/>
        <v>0</v>
      </c>
      <c r="I210">
        <f t="shared" si="12"/>
        <v>1</v>
      </c>
      <c r="J210">
        <f t="shared" si="13"/>
        <v>0</v>
      </c>
      <c r="K210">
        <f t="shared" si="14"/>
        <v>0</v>
      </c>
    </row>
    <row r="211" spans="1:11" ht="28.9">
      <c r="A211" s="1" t="s">
        <v>309</v>
      </c>
      <c r="B211" s="1" t="s">
        <v>15</v>
      </c>
      <c r="C211" t="s">
        <v>12</v>
      </c>
      <c r="E211" s="1" t="s">
        <v>16</v>
      </c>
      <c r="H211">
        <f t="shared" si="15"/>
        <v>0</v>
      </c>
      <c r="I211">
        <f t="shared" si="12"/>
        <v>1</v>
      </c>
      <c r="J211">
        <f t="shared" si="13"/>
        <v>0</v>
      </c>
      <c r="K211">
        <f t="shared" si="14"/>
        <v>0</v>
      </c>
    </row>
    <row r="212" spans="1:11" ht="28.9">
      <c r="A212" s="1" t="s">
        <v>309</v>
      </c>
      <c r="B212" s="1" t="s">
        <v>310</v>
      </c>
      <c r="C212" t="s">
        <v>12</v>
      </c>
      <c r="E212" s="1" t="s">
        <v>16</v>
      </c>
      <c r="H212">
        <f t="shared" si="15"/>
        <v>0</v>
      </c>
      <c r="I212">
        <f t="shared" si="12"/>
        <v>1</v>
      </c>
      <c r="J212">
        <f t="shared" si="13"/>
        <v>0</v>
      </c>
      <c r="K212">
        <f t="shared" si="14"/>
        <v>0</v>
      </c>
    </row>
    <row r="213" spans="1:11" ht="28.9">
      <c r="A213" s="1" t="s">
        <v>309</v>
      </c>
      <c r="B213" s="1" t="s">
        <v>156</v>
      </c>
      <c r="C213" t="s">
        <v>24</v>
      </c>
      <c r="E213" s="1" t="s">
        <v>16</v>
      </c>
      <c r="H213">
        <f t="shared" si="15"/>
        <v>1</v>
      </c>
      <c r="I213">
        <f t="shared" si="12"/>
        <v>0</v>
      </c>
      <c r="J213">
        <f t="shared" si="13"/>
        <v>0</v>
      </c>
      <c r="K213">
        <f t="shared" si="14"/>
        <v>1</v>
      </c>
    </row>
    <row r="214" spans="1:11" ht="28.9">
      <c r="A214" s="1" t="s">
        <v>311</v>
      </c>
      <c r="B214" s="1" t="s">
        <v>28</v>
      </c>
      <c r="C214" t="s">
        <v>12</v>
      </c>
      <c r="E214" s="1" t="s">
        <v>16</v>
      </c>
      <c r="H214">
        <f t="shared" si="15"/>
        <v>0</v>
      </c>
      <c r="I214">
        <f t="shared" si="12"/>
        <v>1</v>
      </c>
      <c r="J214">
        <f t="shared" si="13"/>
        <v>0</v>
      </c>
      <c r="K214">
        <f t="shared" si="14"/>
        <v>0</v>
      </c>
    </row>
    <row r="215" spans="1:11" ht="57.6">
      <c r="A215" s="1" t="s">
        <v>311</v>
      </c>
      <c r="B215" s="1" t="s">
        <v>312</v>
      </c>
      <c r="C215" t="s">
        <v>12</v>
      </c>
      <c r="E215" s="1" t="s">
        <v>21</v>
      </c>
      <c r="H215">
        <f t="shared" si="15"/>
        <v>1</v>
      </c>
      <c r="I215">
        <f t="shared" si="12"/>
        <v>0</v>
      </c>
      <c r="J215">
        <f t="shared" si="13"/>
        <v>1</v>
      </c>
      <c r="K215">
        <f t="shared" si="14"/>
        <v>0</v>
      </c>
    </row>
    <row r="216" spans="1:11" ht="28.9">
      <c r="A216" s="1" t="s">
        <v>313</v>
      </c>
      <c r="B216" s="1" t="s">
        <v>314</v>
      </c>
      <c r="C216" t="s">
        <v>20</v>
      </c>
      <c r="E216" s="1" t="s">
        <v>21</v>
      </c>
      <c r="H216">
        <f t="shared" si="15"/>
        <v>0</v>
      </c>
      <c r="I216">
        <f t="shared" si="12"/>
        <v>0</v>
      </c>
      <c r="J216">
        <f t="shared" si="13"/>
        <v>0</v>
      </c>
      <c r="K216">
        <f t="shared" si="14"/>
        <v>0</v>
      </c>
    </row>
    <row r="217" spans="1:11" ht="28.9">
      <c r="A217" s="1" t="s">
        <v>313</v>
      </c>
      <c r="B217" s="1" t="s">
        <v>315</v>
      </c>
      <c r="C217" t="s">
        <v>20</v>
      </c>
      <c r="E217" s="1" t="s">
        <v>21</v>
      </c>
      <c r="H217">
        <f t="shared" si="15"/>
        <v>0</v>
      </c>
      <c r="I217">
        <f t="shared" si="12"/>
        <v>0</v>
      </c>
      <c r="J217">
        <f t="shared" si="13"/>
        <v>0</v>
      </c>
      <c r="K217">
        <f t="shared" si="14"/>
        <v>0</v>
      </c>
    </row>
    <row r="218" spans="1:11" ht="28.9">
      <c r="A218" s="1" t="s">
        <v>313</v>
      </c>
      <c r="B218" s="1" t="s">
        <v>235</v>
      </c>
      <c r="C218" t="s">
        <v>20</v>
      </c>
      <c r="E218" s="1" t="s">
        <v>21</v>
      </c>
      <c r="H218">
        <f t="shared" si="15"/>
        <v>0</v>
      </c>
      <c r="I218">
        <f t="shared" si="12"/>
        <v>0</v>
      </c>
      <c r="J218">
        <f t="shared" si="13"/>
        <v>0</v>
      </c>
      <c r="K218">
        <f t="shared" si="14"/>
        <v>0</v>
      </c>
    </row>
    <row r="219" spans="1:11" ht="28.9">
      <c r="A219" s="1" t="s">
        <v>313</v>
      </c>
      <c r="B219" s="1" t="s">
        <v>316</v>
      </c>
      <c r="C219" t="s">
        <v>20</v>
      </c>
      <c r="E219" s="1" t="s">
        <v>21</v>
      </c>
      <c r="H219">
        <f t="shared" si="15"/>
        <v>0</v>
      </c>
      <c r="I219">
        <f t="shared" si="12"/>
        <v>0</v>
      </c>
      <c r="J219">
        <f t="shared" si="13"/>
        <v>0</v>
      </c>
      <c r="K219">
        <f t="shared" si="14"/>
        <v>0</v>
      </c>
    </row>
    <row r="220" spans="1:11" ht="86.45">
      <c r="A220" s="1" t="s">
        <v>317</v>
      </c>
      <c r="B220" s="1" t="s">
        <v>318</v>
      </c>
      <c r="C220" t="s">
        <v>20</v>
      </c>
      <c r="E220" s="1" t="s">
        <v>21</v>
      </c>
      <c r="H220">
        <f t="shared" si="15"/>
        <v>0</v>
      </c>
      <c r="I220">
        <f t="shared" si="12"/>
        <v>0</v>
      </c>
      <c r="J220">
        <f t="shared" si="13"/>
        <v>0</v>
      </c>
      <c r="K220">
        <f t="shared" si="14"/>
        <v>0</v>
      </c>
    </row>
    <row r="221" spans="1:11" ht="86.45">
      <c r="A221" s="1" t="s">
        <v>317</v>
      </c>
      <c r="B221" s="1" t="s">
        <v>319</v>
      </c>
      <c r="C221" t="s">
        <v>20</v>
      </c>
      <c r="E221" s="1" t="s">
        <v>13</v>
      </c>
      <c r="H221">
        <f t="shared" si="15"/>
        <v>1</v>
      </c>
      <c r="I221">
        <f t="shared" si="12"/>
        <v>0</v>
      </c>
      <c r="J221">
        <f t="shared" si="13"/>
        <v>0</v>
      </c>
      <c r="K221">
        <f t="shared" si="14"/>
        <v>0</v>
      </c>
    </row>
    <row r="222" spans="1:11" ht="28.9">
      <c r="A222" s="1" t="s">
        <v>320</v>
      </c>
      <c r="B222" s="1" t="s">
        <v>321</v>
      </c>
      <c r="C222" t="s">
        <v>24</v>
      </c>
      <c r="E222" s="1" t="s">
        <v>13</v>
      </c>
      <c r="H222">
        <f t="shared" si="15"/>
        <v>0</v>
      </c>
      <c r="I222">
        <f t="shared" si="12"/>
        <v>0</v>
      </c>
      <c r="J222">
        <f t="shared" si="13"/>
        <v>0</v>
      </c>
      <c r="K222">
        <f t="shared" si="14"/>
        <v>0</v>
      </c>
    </row>
    <row r="223" spans="1:11" ht="43.15">
      <c r="A223" s="1" t="s">
        <v>322</v>
      </c>
      <c r="B223" s="1" t="s">
        <v>323</v>
      </c>
      <c r="C223" t="s">
        <v>20</v>
      </c>
      <c r="E223" s="1" t="s">
        <v>21</v>
      </c>
      <c r="H223">
        <f t="shared" si="15"/>
        <v>0</v>
      </c>
      <c r="I223">
        <f t="shared" si="12"/>
        <v>0</v>
      </c>
      <c r="J223">
        <f t="shared" si="13"/>
        <v>0</v>
      </c>
      <c r="K223">
        <f t="shared" si="14"/>
        <v>0</v>
      </c>
    </row>
    <row r="224" spans="1:11" ht="43.15">
      <c r="A224" s="1" t="s">
        <v>322</v>
      </c>
      <c r="B224" s="1" t="s">
        <v>324</v>
      </c>
      <c r="C224" t="s">
        <v>20</v>
      </c>
      <c r="E224" s="1" t="s">
        <v>21</v>
      </c>
      <c r="H224">
        <f t="shared" si="15"/>
        <v>0</v>
      </c>
      <c r="I224">
        <f t="shared" si="12"/>
        <v>0</v>
      </c>
      <c r="J224">
        <f t="shared" si="13"/>
        <v>0</v>
      </c>
      <c r="K224">
        <f t="shared" si="14"/>
        <v>0</v>
      </c>
    </row>
    <row r="225" spans="1:11" ht="43.15">
      <c r="A225" s="1" t="s">
        <v>322</v>
      </c>
      <c r="B225" s="1" t="s">
        <v>325</v>
      </c>
      <c r="C225" t="s">
        <v>20</v>
      </c>
      <c r="E225" s="1" t="s">
        <v>16</v>
      </c>
      <c r="H225">
        <f t="shared" si="15"/>
        <v>1</v>
      </c>
      <c r="I225">
        <f t="shared" si="12"/>
        <v>0</v>
      </c>
      <c r="J225">
        <f t="shared" si="13"/>
        <v>0</v>
      </c>
      <c r="K225">
        <f t="shared" si="14"/>
        <v>1</v>
      </c>
    </row>
    <row r="226" spans="1:11" ht="28.9">
      <c r="A226" s="1" t="s">
        <v>326</v>
      </c>
      <c r="B226" s="1" t="s">
        <v>327</v>
      </c>
      <c r="C226" t="s">
        <v>12</v>
      </c>
      <c r="E226" s="1" t="s">
        <v>16</v>
      </c>
      <c r="F226" t="s">
        <v>328</v>
      </c>
      <c r="G226" t="s">
        <v>42</v>
      </c>
      <c r="H226">
        <f t="shared" si="15"/>
        <v>0</v>
      </c>
      <c r="I226">
        <f t="shared" si="12"/>
        <v>1</v>
      </c>
      <c r="J226">
        <f t="shared" si="13"/>
        <v>0</v>
      </c>
      <c r="K226">
        <f t="shared" si="14"/>
        <v>0</v>
      </c>
    </row>
    <row r="227" spans="1:11" ht="43.15">
      <c r="A227" s="1" t="s">
        <v>329</v>
      </c>
      <c r="B227" s="1" t="s">
        <v>330</v>
      </c>
      <c r="C227" t="s">
        <v>12</v>
      </c>
      <c r="E227" s="1" t="s">
        <v>16</v>
      </c>
      <c r="H227">
        <f t="shared" si="15"/>
        <v>0</v>
      </c>
      <c r="I227">
        <f t="shared" si="12"/>
        <v>1</v>
      </c>
      <c r="J227">
        <f t="shared" si="13"/>
        <v>0</v>
      </c>
      <c r="K227">
        <f t="shared" si="14"/>
        <v>0</v>
      </c>
    </row>
    <row r="228" spans="1:11" ht="28.9">
      <c r="A228" s="1" t="s">
        <v>331</v>
      </c>
      <c r="B228" s="1" t="s">
        <v>129</v>
      </c>
      <c r="C228" t="s">
        <v>20</v>
      </c>
      <c r="E228" s="1" t="s">
        <v>16</v>
      </c>
      <c r="H228">
        <f t="shared" si="15"/>
        <v>1</v>
      </c>
      <c r="I228">
        <f t="shared" si="12"/>
        <v>0</v>
      </c>
      <c r="J228">
        <f t="shared" si="13"/>
        <v>0</v>
      </c>
      <c r="K228">
        <f t="shared" si="14"/>
        <v>1</v>
      </c>
    </row>
    <row r="229" spans="1:11" ht="28.9">
      <c r="A229" s="1" t="s">
        <v>332</v>
      </c>
      <c r="B229" s="1" t="s">
        <v>333</v>
      </c>
      <c r="C229" t="s">
        <v>12</v>
      </c>
      <c r="E229" s="1" t="s">
        <v>13</v>
      </c>
      <c r="H229">
        <f t="shared" si="15"/>
        <v>1</v>
      </c>
      <c r="I229">
        <f t="shared" si="12"/>
        <v>0</v>
      </c>
      <c r="J229">
        <f t="shared" si="13"/>
        <v>1</v>
      </c>
      <c r="K229">
        <f t="shared" si="14"/>
        <v>0</v>
      </c>
    </row>
    <row r="230" spans="1:11" ht="28.9">
      <c r="A230" s="1" t="s">
        <v>332</v>
      </c>
      <c r="B230" s="1" t="s">
        <v>334</v>
      </c>
      <c r="C230" t="s">
        <v>12</v>
      </c>
      <c r="E230" s="1" t="s">
        <v>16</v>
      </c>
      <c r="H230">
        <f t="shared" si="15"/>
        <v>0</v>
      </c>
      <c r="I230">
        <f t="shared" si="12"/>
        <v>1</v>
      </c>
      <c r="J230">
        <f t="shared" si="13"/>
        <v>0</v>
      </c>
      <c r="K230">
        <f t="shared" si="14"/>
        <v>0</v>
      </c>
    </row>
    <row r="231" spans="1:11" ht="28.9">
      <c r="A231" s="1" t="s">
        <v>335</v>
      </c>
      <c r="B231" s="1" t="s">
        <v>336</v>
      </c>
      <c r="C231" t="s">
        <v>12</v>
      </c>
      <c r="E231" s="1" t="s">
        <v>16</v>
      </c>
      <c r="H231">
        <f t="shared" si="15"/>
        <v>0</v>
      </c>
      <c r="I231">
        <f t="shared" si="12"/>
        <v>1</v>
      </c>
      <c r="J231">
        <f t="shared" si="13"/>
        <v>0</v>
      </c>
      <c r="K231">
        <f t="shared" si="14"/>
        <v>0</v>
      </c>
    </row>
    <row r="232" spans="1:11" ht="28.9">
      <c r="A232" s="1" t="s">
        <v>335</v>
      </c>
      <c r="B232" s="1" t="s">
        <v>337</v>
      </c>
      <c r="C232" t="s">
        <v>12</v>
      </c>
      <c r="E232" s="1" t="s">
        <v>16</v>
      </c>
      <c r="H232">
        <f t="shared" si="15"/>
        <v>0</v>
      </c>
      <c r="I232">
        <f t="shared" si="12"/>
        <v>1</v>
      </c>
      <c r="J232">
        <f t="shared" si="13"/>
        <v>0</v>
      </c>
      <c r="K232">
        <f t="shared" si="14"/>
        <v>0</v>
      </c>
    </row>
    <row r="233" spans="1:11" ht="28.9">
      <c r="A233" s="1" t="s">
        <v>335</v>
      </c>
      <c r="B233" s="1" t="s">
        <v>338</v>
      </c>
      <c r="C233" t="s">
        <v>12</v>
      </c>
      <c r="E233" s="1" t="s">
        <v>16</v>
      </c>
      <c r="H233">
        <f t="shared" si="15"/>
        <v>0</v>
      </c>
      <c r="I233">
        <f t="shared" si="12"/>
        <v>1</v>
      </c>
      <c r="J233">
        <f t="shared" si="13"/>
        <v>0</v>
      </c>
      <c r="K233">
        <f t="shared" si="14"/>
        <v>0</v>
      </c>
    </row>
    <row r="234" spans="1:11" ht="28.9">
      <c r="A234" s="1" t="s">
        <v>335</v>
      </c>
      <c r="B234" s="1" t="s">
        <v>339</v>
      </c>
      <c r="C234" t="s">
        <v>12</v>
      </c>
      <c r="E234" s="1" t="s">
        <v>16</v>
      </c>
      <c r="H234">
        <f t="shared" si="15"/>
        <v>0</v>
      </c>
      <c r="I234">
        <f t="shared" si="12"/>
        <v>1</v>
      </c>
      <c r="J234">
        <f t="shared" si="13"/>
        <v>0</v>
      </c>
      <c r="K234">
        <f t="shared" si="14"/>
        <v>0</v>
      </c>
    </row>
    <row r="235" spans="1:11" ht="28.9">
      <c r="A235" s="1" t="s">
        <v>340</v>
      </c>
      <c r="B235" s="1" t="s">
        <v>45</v>
      </c>
      <c r="C235" t="s">
        <v>12</v>
      </c>
      <c r="E235" s="1" t="s">
        <v>16</v>
      </c>
      <c r="H235">
        <f t="shared" si="15"/>
        <v>0</v>
      </c>
      <c r="I235">
        <f t="shared" si="12"/>
        <v>1</v>
      </c>
      <c r="J235">
        <f t="shared" si="13"/>
        <v>0</v>
      </c>
      <c r="K235">
        <f t="shared" si="14"/>
        <v>0</v>
      </c>
    </row>
    <row r="236" spans="1:11" ht="28.9">
      <c r="A236" s="1" t="s">
        <v>340</v>
      </c>
      <c r="B236" s="1" t="s">
        <v>341</v>
      </c>
      <c r="C236" t="s">
        <v>12</v>
      </c>
      <c r="E236" s="1" t="s">
        <v>16</v>
      </c>
      <c r="H236">
        <f t="shared" si="15"/>
        <v>0</v>
      </c>
      <c r="I236">
        <f t="shared" si="12"/>
        <v>1</v>
      </c>
      <c r="J236">
        <f t="shared" si="13"/>
        <v>0</v>
      </c>
      <c r="K236">
        <f t="shared" si="14"/>
        <v>0</v>
      </c>
    </row>
    <row r="237" spans="1:11" ht="28.9">
      <c r="A237" s="1" t="s">
        <v>340</v>
      </c>
      <c r="B237" s="1" t="s">
        <v>342</v>
      </c>
      <c r="C237" t="s">
        <v>12</v>
      </c>
      <c r="E237" s="1" t="s">
        <v>21</v>
      </c>
      <c r="H237">
        <f t="shared" si="15"/>
        <v>1</v>
      </c>
      <c r="I237">
        <f t="shared" si="12"/>
        <v>0</v>
      </c>
      <c r="J237">
        <f t="shared" si="13"/>
        <v>1</v>
      </c>
      <c r="K237">
        <f t="shared" si="14"/>
        <v>0</v>
      </c>
    </row>
    <row r="238" spans="1:11" ht="28.9">
      <c r="A238" s="1" t="s">
        <v>343</v>
      </c>
      <c r="B238" s="1" t="s">
        <v>344</v>
      </c>
      <c r="C238" t="s">
        <v>20</v>
      </c>
      <c r="E238" s="1" t="s">
        <v>16</v>
      </c>
      <c r="H238">
        <f t="shared" si="15"/>
        <v>1</v>
      </c>
      <c r="I238">
        <f t="shared" si="12"/>
        <v>0</v>
      </c>
      <c r="J238">
        <f t="shared" si="13"/>
        <v>0</v>
      </c>
      <c r="K238">
        <f t="shared" si="14"/>
        <v>1</v>
      </c>
    </row>
    <row r="239" spans="1:11" ht="28.9">
      <c r="A239" s="1" t="s">
        <v>345</v>
      </c>
      <c r="B239" s="1" t="s">
        <v>346</v>
      </c>
      <c r="C239" t="s">
        <v>24</v>
      </c>
      <c r="E239" s="1" t="s">
        <v>21</v>
      </c>
      <c r="H239">
        <f t="shared" si="15"/>
        <v>1</v>
      </c>
      <c r="I239">
        <f t="shared" si="12"/>
        <v>0</v>
      </c>
      <c r="J239">
        <f t="shared" si="13"/>
        <v>0</v>
      </c>
      <c r="K239">
        <f t="shared" si="14"/>
        <v>0</v>
      </c>
    </row>
    <row r="240" spans="1:11" ht="28.9">
      <c r="A240" s="1" t="s">
        <v>347</v>
      </c>
      <c r="B240" s="1" t="s">
        <v>348</v>
      </c>
      <c r="C240" t="s">
        <v>24</v>
      </c>
      <c r="E240" s="1" t="s">
        <v>16</v>
      </c>
      <c r="H240">
        <f t="shared" si="15"/>
        <v>1</v>
      </c>
      <c r="I240">
        <f t="shared" si="12"/>
        <v>0</v>
      </c>
      <c r="J240">
        <f t="shared" si="13"/>
        <v>0</v>
      </c>
      <c r="K240">
        <f t="shared" si="14"/>
        <v>1</v>
      </c>
    </row>
    <row r="241" spans="1:11" ht="28.9">
      <c r="A241" s="1" t="s">
        <v>347</v>
      </c>
      <c r="B241" s="1" t="s">
        <v>349</v>
      </c>
      <c r="C241" t="s">
        <v>24</v>
      </c>
      <c r="E241" s="1" t="s">
        <v>13</v>
      </c>
      <c r="H241">
        <f t="shared" si="15"/>
        <v>0</v>
      </c>
      <c r="I241">
        <f t="shared" si="12"/>
        <v>0</v>
      </c>
      <c r="J241">
        <f t="shared" si="13"/>
        <v>0</v>
      </c>
      <c r="K241">
        <f t="shared" si="14"/>
        <v>0</v>
      </c>
    </row>
    <row r="242" spans="1:11" ht="43.15">
      <c r="A242" s="1" t="s">
        <v>350</v>
      </c>
      <c r="B242" s="1" t="s">
        <v>351</v>
      </c>
      <c r="C242" t="s">
        <v>24</v>
      </c>
      <c r="E242" s="1" t="s">
        <v>13</v>
      </c>
      <c r="H242">
        <f t="shared" si="15"/>
        <v>0</v>
      </c>
      <c r="I242">
        <f t="shared" si="12"/>
        <v>0</v>
      </c>
      <c r="J242">
        <f t="shared" si="13"/>
        <v>0</v>
      </c>
      <c r="K242">
        <f t="shared" si="14"/>
        <v>0</v>
      </c>
    </row>
    <row r="243" spans="1:11" ht="43.15">
      <c r="A243" s="1" t="s">
        <v>350</v>
      </c>
      <c r="B243" s="1" t="s">
        <v>352</v>
      </c>
      <c r="C243" t="s">
        <v>24</v>
      </c>
      <c r="E243" s="1" t="s">
        <v>21</v>
      </c>
      <c r="H243">
        <f t="shared" si="15"/>
        <v>1</v>
      </c>
      <c r="I243">
        <f t="shared" si="12"/>
        <v>0</v>
      </c>
      <c r="J243">
        <f t="shared" si="13"/>
        <v>0</v>
      </c>
      <c r="K243">
        <f t="shared" si="14"/>
        <v>0</v>
      </c>
    </row>
    <row r="244" spans="1:11" ht="28.9">
      <c r="A244" s="1" t="s">
        <v>353</v>
      </c>
      <c r="B244" s="1" t="s">
        <v>354</v>
      </c>
      <c r="C244" t="s">
        <v>20</v>
      </c>
      <c r="E244" s="1" t="s">
        <v>13</v>
      </c>
      <c r="H244">
        <f t="shared" si="15"/>
        <v>1</v>
      </c>
      <c r="I244">
        <f t="shared" si="12"/>
        <v>0</v>
      </c>
      <c r="J244">
        <f t="shared" si="13"/>
        <v>0</v>
      </c>
      <c r="K244">
        <f t="shared" si="14"/>
        <v>0</v>
      </c>
    </row>
    <row r="245" spans="1:11">
      <c r="A245" s="1" t="s">
        <v>355</v>
      </c>
      <c r="B245" s="1" t="s">
        <v>356</v>
      </c>
      <c r="C245" t="s">
        <v>20</v>
      </c>
      <c r="E245" s="1" t="s">
        <v>16</v>
      </c>
      <c r="H245">
        <f t="shared" si="15"/>
        <v>1</v>
      </c>
      <c r="I245">
        <f t="shared" si="12"/>
        <v>0</v>
      </c>
      <c r="J245">
        <f t="shared" si="13"/>
        <v>0</v>
      </c>
      <c r="K245">
        <f t="shared" si="14"/>
        <v>1</v>
      </c>
    </row>
    <row r="246" spans="1:11" ht="28.9">
      <c r="A246" s="1" t="s">
        <v>357</v>
      </c>
      <c r="B246" s="1" t="s">
        <v>306</v>
      </c>
      <c r="C246" t="s">
        <v>12</v>
      </c>
      <c r="E246" s="1" t="s">
        <v>16</v>
      </c>
      <c r="H246">
        <f t="shared" si="15"/>
        <v>0</v>
      </c>
      <c r="I246">
        <f t="shared" si="12"/>
        <v>1</v>
      </c>
      <c r="J246">
        <f t="shared" si="13"/>
        <v>0</v>
      </c>
      <c r="K246">
        <f t="shared" si="14"/>
        <v>0</v>
      </c>
    </row>
    <row r="247" spans="1:11" ht="57.6">
      <c r="A247" s="1" t="s">
        <v>358</v>
      </c>
      <c r="B247" s="1" t="s">
        <v>359</v>
      </c>
      <c r="C247" t="s">
        <v>12</v>
      </c>
      <c r="E247" s="1" t="s">
        <v>13</v>
      </c>
      <c r="H247">
        <f t="shared" si="15"/>
        <v>1</v>
      </c>
      <c r="I247">
        <f t="shared" si="12"/>
        <v>0</v>
      </c>
      <c r="J247">
        <f t="shared" si="13"/>
        <v>1</v>
      </c>
      <c r="K247">
        <f t="shared" si="14"/>
        <v>0</v>
      </c>
    </row>
    <row r="248" spans="1:11" ht="28.9">
      <c r="A248" s="1" t="s">
        <v>358</v>
      </c>
      <c r="B248" s="1" t="s">
        <v>360</v>
      </c>
      <c r="C248" t="s">
        <v>20</v>
      </c>
      <c r="E248" s="1" t="s">
        <v>13</v>
      </c>
      <c r="H248">
        <f t="shared" si="15"/>
        <v>1</v>
      </c>
      <c r="I248">
        <f t="shared" si="12"/>
        <v>0</v>
      </c>
      <c r="J248">
        <f t="shared" si="13"/>
        <v>0</v>
      </c>
      <c r="K248">
        <f t="shared" si="14"/>
        <v>0</v>
      </c>
    </row>
    <row r="249" spans="1:11">
      <c r="A249" s="1" t="s">
        <v>361</v>
      </c>
      <c r="B249" s="1" t="s">
        <v>94</v>
      </c>
      <c r="C249" t="s">
        <v>24</v>
      </c>
      <c r="E249" s="1" t="s">
        <v>21</v>
      </c>
      <c r="H249">
        <f t="shared" si="15"/>
        <v>1</v>
      </c>
      <c r="I249">
        <f t="shared" si="12"/>
        <v>0</v>
      </c>
      <c r="J249">
        <f t="shared" si="13"/>
        <v>0</v>
      </c>
      <c r="K249">
        <f t="shared" si="14"/>
        <v>0</v>
      </c>
    </row>
    <row r="250" spans="1:11" ht="28.9">
      <c r="A250" s="1" t="s">
        <v>362</v>
      </c>
      <c r="B250" s="1" t="s">
        <v>363</v>
      </c>
      <c r="C250" t="s">
        <v>20</v>
      </c>
      <c r="E250" s="1" t="s">
        <v>13</v>
      </c>
      <c r="H250">
        <f t="shared" si="15"/>
        <v>1</v>
      </c>
      <c r="I250">
        <f t="shared" si="12"/>
        <v>0</v>
      </c>
      <c r="J250">
        <f t="shared" si="13"/>
        <v>0</v>
      </c>
      <c r="K250">
        <f t="shared" si="14"/>
        <v>0</v>
      </c>
    </row>
    <row r="251" spans="1:11" ht="57.6">
      <c r="A251" s="1" t="s">
        <v>364</v>
      </c>
      <c r="B251" s="1" t="s">
        <v>365</v>
      </c>
      <c r="C251" t="s">
        <v>20</v>
      </c>
      <c r="E251" s="1" t="s">
        <v>13</v>
      </c>
      <c r="H251">
        <f t="shared" si="15"/>
        <v>1</v>
      </c>
      <c r="I251">
        <f t="shared" si="12"/>
        <v>0</v>
      </c>
      <c r="J251">
        <f t="shared" si="13"/>
        <v>0</v>
      </c>
      <c r="K251">
        <f t="shared" si="14"/>
        <v>0</v>
      </c>
    </row>
    <row r="252" spans="1:11" ht="28.9">
      <c r="A252" s="1" t="s">
        <v>366</v>
      </c>
      <c r="B252" s="1" t="s">
        <v>367</v>
      </c>
      <c r="C252" t="s">
        <v>20</v>
      </c>
      <c r="E252" s="1" t="s">
        <v>13</v>
      </c>
      <c r="H252">
        <f t="shared" si="15"/>
        <v>1</v>
      </c>
      <c r="I252">
        <f t="shared" si="12"/>
        <v>0</v>
      </c>
      <c r="J252">
        <f t="shared" si="13"/>
        <v>0</v>
      </c>
      <c r="K252">
        <f t="shared" si="14"/>
        <v>0</v>
      </c>
    </row>
    <row r="253" spans="1:11" ht="28.9">
      <c r="A253" s="1" t="s">
        <v>368</v>
      </c>
      <c r="B253" s="1" t="s">
        <v>369</v>
      </c>
      <c r="C253" t="s">
        <v>20</v>
      </c>
      <c r="E253" s="1" t="s">
        <v>16</v>
      </c>
      <c r="H253">
        <f t="shared" si="15"/>
        <v>1</v>
      </c>
      <c r="I253">
        <f t="shared" si="12"/>
        <v>0</v>
      </c>
      <c r="J253">
        <f t="shared" si="13"/>
        <v>0</v>
      </c>
      <c r="K253">
        <f t="shared" si="14"/>
        <v>1</v>
      </c>
    </row>
    <row r="254" spans="1:11" ht="28.9">
      <c r="A254" s="1" t="s">
        <v>370</v>
      </c>
      <c r="B254" s="1" t="s">
        <v>371</v>
      </c>
      <c r="C254" t="s">
        <v>12</v>
      </c>
      <c r="E254" s="1" t="s">
        <v>16</v>
      </c>
      <c r="H254">
        <f t="shared" si="15"/>
        <v>0</v>
      </c>
      <c r="I254">
        <f t="shared" si="12"/>
        <v>1</v>
      </c>
      <c r="J254">
        <f t="shared" si="13"/>
        <v>0</v>
      </c>
      <c r="K254">
        <f t="shared" si="14"/>
        <v>0</v>
      </c>
    </row>
    <row r="255" spans="1:11">
      <c r="A255" s="1" t="s">
        <v>372</v>
      </c>
      <c r="B255" s="1" t="s">
        <v>45</v>
      </c>
      <c r="C255" t="s">
        <v>12</v>
      </c>
      <c r="E255" s="1" t="s">
        <v>16</v>
      </c>
      <c r="H255">
        <f t="shared" si="15"/>
        <v>0</v>
      </c>
      <c r="I255">
        <f t="shared" si="12"/>
        <v>1</v>
      </c>
      <c r="J255">
        <f t="shared" si="13"/>
        <v>0</v>
      </c>
      <c r="K255">
        <f t="shared" si="14"/>
        <v>0</v>
      </c>
    </row>
    <row r="256" spans="1:11">
      <c r="A256" s="1" t="s">
        <v>372</v>
      </c>
      <c r="B256" s="1" t="s">
        <v>114</v>
      </c>
      <c r="C256" t="s">
        <v>12</v>
      </c>
      <c r="E256" s="1" t="s">
        <v>16</v>
      </c>
      <c r="H256">
        <f t="shared" si="15"/>
        <v>0</v>
      </c>
      <c r="I256">
        <f t="shared" si="12"/>
        <v>1</v>
      </c>
      <c r="J256">
        <f t="shared" si="13"/>
        <v>0</v>
      </c>
      <c r="K256">
        <f t="shared" si="14"/>
        <v>0</v>
      </c>
    </row>
    <row r="257" spans="1:11" ht="28.9">
      <c r="A257" s="1" t="s">
        <v>373</v>
      </c>
      <c r="B257" s="1" t="s">
        <v>374</v>
      </c>
      <c r="C257" t="s">
        <v>12</v>
      </c>
      <c r="E257" s="1" t="s">
        <v>16</v>
      </c>
      <c r="H257">
        <f t="shared" si="15"/>
        <v>0</v>
      </c>
      <c r="I257">
        <f t="shared" si="12"/>
        <v>1</v>
      </c>
      <c r="J257">
        <f t="shared" si="13"/>
        <v>0</v>
      </c>
      <c r="K257">
        <f t="shared" si="14"/>
        <v>0</v>
      </c>
    </row>
    <row r="258" spans="1:11" ht="28.9">
      <c r="A258" s="1" t="s">
        <v>373</v>
      </c>
      <c r="B258" s="1" t="s">
        <v>375</v>
      </c>
      <c r="C258" t="s">
        <v>12</v>
      </c>
      <c r="E258" s="1" t="s">
        <v>21</v>
      </c>
      <c r="H258">
        <f t="shared" si="15"/>
        <v>1</v>
      </c>
      <c r="I258">
        <f t="shared" si="12"/>
        <v>0</v>
      </c>
      <c r="J258">
        <f t="shared" si="13"/>
        <v>1</v>
      </c>
      <c r="K258">
        <f t="shared" si="14"/>
        <v>0</v>
      </c>
    </row>
    <row r="259" spans="1:11">
      <c r="A259" s="1" t="s">
        <v>376</v>
      </c>
      <c r="B259" s="1" t="s">
        <v>377</v>
      </c>
      <c r="C259" t="s">
        <v>20</v>
      </c>
      <c r="E259" s="1" t="s">
        <v>16</v>
      </c>
      <c r="H259">
        <f t="shared" si="15"/>
        <v>1</v>
      </c>
      <c r="I259">
        <f t="shared" ref="I259:I322" si="16">IF(AND(LOWER(C259)="positive", LOWER(E259)="positive"), 1, 0)</f>
        <v>0</v>
      </c>
      <c r="J259">
        <f t="shared" ref="J259:J322" si="17">IF(AND(LOWER(C259)="positive", LOWER(E259)&lt;&gt;"positive"), 1, 0)</f>
        <v>0</v>
      </c>
      <c r="K259">
        <f t="shared" ref="K259:K322" si="18">IF(AND(LOWER(C259)&lt;&gt;"positive", LOWER(E259)="positive"), 1, 0)</f>
        <v>1</v>
      </c>
    </row>
    <row r="260" spans="1:11" ht="28.9">
      <c r="A260" s="1" t="s">
        <v>378</v>
      </c>
      <c r="B260" s="1" t="s">
        <v>379</v>
      </c>
      <c r="C260" t="s">
        <v>12</v>
      </c>
      <c r="E260" s="1" t="s">
        <v>13</v>
      </c>
      <c r="H260">
        <f t="shared" si="15"/>
        <v>1</v>
      </c>
      <c r="I260">
        <f t="shared" si="16"/>
        <v>0</v>
      </c>
      <c r="J260">
        <f t="shared" si="17"/>
        <v>1</v>
      </c>
      <c r="K260">
        <f t="shared" si="18"/>
        <v>0</v>
      </c>
    </row>
    <row r="261" spans="1:11" ht="28.9">
      <c r="A261" s="1" t="s">
        <v>380</v>
      </c>
      <c r="B261" s="1" t="s">
        <v>381</v>
      </c>
      <c r="C261" t="s">
        <v>20</v>
      </c>
      <c r="E261" s="1" t="s">
        <v>13</v>
      </c>
      <c r="H261">
        <f t="shared" si="15"/>
        <v>1</v>
      </c>
      <c r="I261">
        <f t="shared" si="16"/>
        <v>0</v>
      </c>
      <c r="J261">
        <f t="shared" si="17"/>
        <v>0</v>
      </c>
      <c r="K261">
        <f t="shared" si="18"/>
        <v>0</v>
      </c>
    </row>
    <row r="262" spans="1:11" ht="43.15">
      <c r="A262" s="1" t="s">
        <v>380</v>
      </c>
      <c r="B262" s="1" t="s">
        <v>382</v>
      </c>
      <c r="C262" t="s">
        <v>20</v>
      </c>
      <c r="E262" s="1" t="s">
        <v>21</v>
      </c>
      <c r="H262">
        <f t="shared" ref="H262:H325" si="19">IF(LOWER(C262)=LOWER(E262), 0, 1)</f>
        <v>0</v>
      </c>
      <c r="I262">
        <f t="shared" si="16"/>
        <v>0</v>
      </c>
      <c r="J262">
        <f t="shared" si="17"/>
        <v>0</v>
      </c>
      <c r="K262">
        <f t="shared" si="18"/>
        <v>0</v>
      </c>
    </row>
    <row r="263" spans="1:11" ht="28.9">
      <c r="A263" s="1" t="s">
        <v>383</v>
      </c>
      <c r="B263" s="1" t="s">
        <v>384</v>
      </c>
      <c r="C263" t="s">
        <v>20</v>
      </c>
      <c r="E263" s="1" t="s">
        <v>16</v>
      </c>
      <c r="H263">
        <f t="shared" si="19"/>
        <v>1</v>
      </c>
      <c r="I263">
        <f t="shared" si="16"/>
        <v>0</v>
      </c>
      <c r="J263">
        <f t="shared" si="17"/>
        <v>0</v>
      </c>
      <c r="K263">
        <f t="shared" si="18"/>
        <v>1</v>
      </c>
    </row>
    <row r="264" spans="1:11">
      <c r="A264" s="1" t="s">
        <v>385</v>
      </c>
      <c r="B264" s="1" t="s">
        <v>29</v>
      </c>
      <c r="C264" t="s">
        <v>12</v>
      </c>
      <c r="E264" s="1" t="s">
        <v>13</v>
      </c>
      <c r="H264">
        <f t="shared" si="19"/>
        <v>1</v>
      </c>
      <c r="I264">
        <f t="shared" si="16"/>
        <v>0</v>
      </c>
      <c r="J264">
        <f t="shared" si="17"/>
        <v>1</v>
      </c>
      <c r="K264">
        <f t="shared" si="18"/>
        <v>0</v>
      </c>
    </row>
    <row r="265" spans="1:11" ht="43.15">
      <c r="A265" s="1" t="s">
        <v>386</v>
      </c>
      <c r="B265" s="1" t="s">
        <v>387</v>
      </c>
      <c r="C265" t="s">
        <v>12</v>
      </c>
      <c r="E265" s="1" t="s">
        <v>16</v>
      </c>
      <c r="H265">
        <f t="shared" si="19"/>
        <v>0</v>
      </c>
      <c r="I265">
        <f t="shared" si="16"/>
        <v>1</v>
      </c>
      <c r="J265">
        <f t="shared" si="17"/>
        <v>0</v>
      </c>
      <c r="K265">
        <f t="shared" si="18"/>
        <v>0</v>
      </c>
    </row>
    <row r="266" spans="1:11" ht="43.15">
      <c r="A266" s="1" t="s">
        <v>388</v>
      </c>
      <c r="B266" s="1" t="s">
        <v>389</v>
      </c>
      <c r="C266" t="s">
        <v>12</v>
      </c>
      <c r="E266" s="1" t="s">
        <v>21</v>
      </c>
      <c r="H266">
        <f t="shared" si="19"/>
        <v>1</v>
      </c>
      <c r="I266">
        <f t="shared" si="16"/>
        <v>0</v>
      </c>
      <c r="J266">
        <f t="shared" si="17"/>
        <v>1</v>
      </c>
      <c r="K266">
        <f t="shared" si="18"/>
        <v>0</v>
      </c>
    </row>
    <row r="267" spans="1:11" ht="28.9">
      <c r="A267" s="1" t="s">
        <v>390</v>
      </c>
      <c r="B267" s="1" t="s">
        <v>391</v>
      </c>
      <c r="C267" t="s">
        <v>20</v>
      </c>
      <c r="E267" s="1" t="s">
        <v>16</v>
      </c>
      <c r="H267">
        <f t="shared" si="19"/>
        <v>1</v>
      </c>
      <c r="I267">
        <f t="shared" si="16"/>
        <v>0</v>
      </c>
      <c r="J267">
        <f t="shared" si="17"/>
        <v>0</v>
      </c>
      <c r="K267">
        <f t="shared" si="18"/>
        <v>1</v>
      </c>
    </row>
    <row r="268" spans="1:11">
      <c r="A268" s="1" t="s">
        <v>392</v>
      </c>
      <c r="B268" s="1" t="s">
        <v>86</v>
      </c>
      <c r="C268" t="s">
        <v>12</v>
      </c>
      <c r="E268" s="1" t="s">
        <v>16</v>
      </c>
      <c r="H268">
        <f t="shared" si="19"/>
        <v>0</v>
      </c>
      <c r="I268">
        <f t="shared" si="16"/>
        <v>1</v>
      </c>
      <c r="J268">
        <f t="shared" si="17"/>
        <v>0</v>
      </c>
      <c r="K268">
        <f t="shared" si="18"/>
        <v>0</v>
      </c>
    </row>
    <row r="269" spans="1:11">
      <c r="A269" s="1" t="s">
        <v>392</v>
      </c>
      <c r="B269" s="1" t="s">
        <v>393</v>
      </c>
      <c r="C269" t="s">
        <v>12</v>
      </c>
      <c r="E269" s="1" t="s">
        <v>16</v>
      </c>
      <c r="H269">
        <f t="shared" si="19"/>
        <v>0</v>
      </c>
      <c r="I269">
        <f t="shared" si="16"/>
        <v>1</v>
      </c>
      <c r="J269">
        <f t="shared" si="17"/>
        <v>0</v>
      </c>
      <c r="K269">
        <f t="shared" si="18"/>
        <v>0</v>
      </c>
    </row>
    <row r="270" spans="1:11">
      <c r="A270" s="1" t="s">
        <v>394</v>
      </c>
      <c r="B270" s="1" t="s">
        <v>114</v>
      </c>
      <c r="C270" t="s">
        <v>12</v>
      </c>
      <c r="E270" s="1" t="s">
        <v>16</v>
      </c>
      <c r="H270">
        <f t="shared" si="19"/>
        <v>0</v>
      </c>
      <c r="I270">
        <f t="shared" si="16"/>
        <v>1</v>
      </c>
      <c r="J270">
        <f t="shared" si="17"/>
        <v>0</v>
      </c>
      <c r="K270">
        <f t="shared" si="18"/>
        <v>0</v>
      </c>
    </row>
    <row r="271" spans="1:11">
      <c r="A271" s="1" t="s">
        <v>394</v>
      </c>
      <c r="B271" s="1" t="s">
        <v>251</v>
      </c>
      <c r="C271" t="s">
        <v>12</v>
      </c>
      <c r="E271" s="1" t="s">
        <v>21</v>
      </c>
      <c r="H271">
        <f t="shared" si="19"/>
        <v>1</v>
      </c>
      <c r="I271">
        <f t="shared" si="16"/>
        <v>0</v>
      </c>
      <c r="J271">
        <f t="shared" si="17"/>
        <v>1</v>
      </c>
      <c r="K271">
        <f t="shared" si="18"/>
        <v>0</v>
      </c>
    </row>
    <row r="272" spans="1:11">
      <c r="A272" s="1" t="s">
        <v>395</v>
      </c>
      <c r="B272" s="1" t="s">
        <v>45</v>
      </c>
      <c r="C272" t="s">
        <v>24</v>
      </c>
      <c r="E272" s="1" t="s">
        <v>13</v>
      </c>
      <c r="H272">
        <f t="shared" si="19"/>
        <v>0</v>
      </c>
      <c r="I272">
        <f t="shared" si="16"/>
        <v>0</v>
      </c>
      <c r="J272">
        <f t="shared" si="17"/>
        <v>0</v>
      </c>
      <c r="K272">
        <f t="shared" si="18"/>
        <v>0</v>
      </c>
    </row>
    <row r="273" spans="1:11" ht="28.9">
      <c r="A273" s="1" t="s">
        <v>396</v>
      </c>
      <c r="B273" s="1" t="s">
        <v>26</v>
      </c>
      <c r="C273" t="s">
        <v>20</v>
      </c>
      <c r="E273" s="1" t="s">
        <v>21</v>
      </c>
      <c r="H273">
        <f t="shared" si="19"/>
        <v>0</v>
      </c>
      <c r="I273">
        <f t="shared" si="16"/>
        <v>0</v>
      </c>
      <c r="J273">
        <f t="shared" si="17"/>
        <v>0</v>
      </c>
      <c r="K273">
        <f t="shared" si="18"/>
        <v>0</v>
      </c>
    </row>
    <row r="274" spans="1:11" ht="28.9">
      <c r="A274" s="1" t="s">
        <v>397</v>
      </c>
      <c r="B274" s="1" t="s">
        <v>398</v>
      </c>
      <c r="C274" t="s">
        <v>20</v>
      </c>
      <c r="E274" s="1" t="s">
        <v>16</v>
      </c>
      <c r="H274">
        <f t="shared" si="19"/>
        <v>1</v>
      </c>
      <c r="I274">
        <f t="shared" si="16"/>
        <v>0</v>
      </c>
      <c r="J274">
        <f t="shared" si="17"/>
        <v>0</v>
      </c>
      <c r="K274">
        <f t="shared" si="18"/>
        <v>1</v>
      </c>
    </row>
    <row r="275" spans="1:11">
      <c r="A275" s="1" t="s">
        <v>399</v>
      </c>
      <c r="B275" s="1" t="s">
        <v>249</v>
      </c>
      <c r="C275" t="s">
        <v>12</v>
      </c>
      <c r="E275" s="1" t="s">
        <v>16</v>
      </c>
      <c r="H275">
        <f t="shared" si="19"/>
        <v>0</v>
      </c>
      <c r="I275">
        <f t="shared" si="16"/>
        <v>1</v>
      </c>
      <c r="J275">
        <f t="shared" si="17"/>
        <v>0</v>
      </c>
      <c r="K275">
        <f t="shared" si="18"/>
        <v>0</v>
      </c>
    </row>
    <row r="276" spans="1:11" ht="28.9">
      <c r="A276" s="1" t="s">
        <v>400</v>
      </c>
      <c r="B276" s="1" t="s">
        <v>401</v>
      </c>
      <c r="C276" t="s">
        <v>20</v>
      </c>
      <c r="E276" s="1" t="s">
        <v>13</v>
      </c>
      <c r="H276">
        <f t="shared" si="19"/>
        <v>1</v>
      </c>
      <c r="I276">
        <f t="shared" si="16"/>
        <v>0</v>
      </c>
      <c r="J276">
        <f t="shared" si="17"/>
        <v>0</v>
      </c>
      <c r="K276">
        <f t="shared" si="18"/>
        <v>0</v>
      </c>
    </row>
    <row r="277" spans="1:11" ht="28.9">
      <c r="A277" s="1" t="s">
        <v>400</v>
      </c>
      <c r="B277" s="1" t="s">
        <v>402</v>
      </c>
      <c r="C277" t="s">
        <v>20</v>
      </c>
      <c r="E277" s="1" t="s">
        <v>21</v>
      </c>
      <c r="H277">
        <f t="shared" si="19"/>
        <v>0</v>
      </c>
      <c r="I277">
        <f t="shared" si="16"/>
        <v>0</v>
      </c>
      <c r="J277">
        <f t="shared" si="17"/>
        <v>0</v>
      </c>
      <c r="K277">
        <f t="shared" si="18"/>
        <v>0</v>
      </c>
    </row>
    <row r="278" spans="1:11" ht="28.9">
      <c r="A278" s="1" t="s">
        <v>403</v>
      </c>
      <c r="B278" s="1" t="s">
        <v>404</v>
      </c>
      <c r="C278" t="s">
        <v>20</v>
      </c>
      <c r="E278" s="1" t="s">
        <v>13</v>
      </c>
      <c r="H278">
        <f t="shared" si="19"/>
        <v>1</v>
      </c>
      <c r="I278">
        <f t="shared" si="16"/>
        <v>0</v>
      </c>
      <c r="J278">
        <f t="shared" si="17"/>
        <v>0</v>
      </c>
      <c r="K278">
        <f t="shared" si="18"/>
        <v>0</v>
      </c>
    </row>
    <row r="279" spans="1:11" ht="28.9">
      <c r="A279" s="1" t="s">
        <v>403</v>
      </c>
      <c r="B279" s="1" t="s">
        <v>405</v>
      </c>
      <c r="C279" t="s">
        <v>20</v>
      </c>
      <c r="E279" s="1" t="s">
        <v>13</v>
      </c>
      <c r="H279">
        <f t="shared" si="19"/>
        <v>1</v>
      </c>
      <c r="I279">
        <f t="shared" si="16"/>
        <v>0</v>
      </c>
      <c r="J279">
        <f t="shared" si="17"/>
        <v>0</v>
      </c>
      <c r="K279">
        <f t="shared" si="18"/>
        <v>0</v>
      </c>
    </row>
    <row r="280" spans="1:11">
      <c r="A280" s="1" t="s">
        <v>406</v>
      </c>
      <c r="B280" s="1" t="s">
        <v>407</v>
      </c>
      <c r="C280" t="s">
        <v>24</v>
      </c>
      <c r="E280" s="1" t="s">
        <v>16</v>
      </c>
      <c r="H280">
        <f t="shared" si="19"/>
        <v>1</v>
      </c>
      <c r="I280">
        <f t="shared" si="16"/>
        <v>0</v>
      </c>
      <c r="J280">
        <f t="shared" si="17"/>
        <v>0</v>
      </c>
      <c r="K280">
        <f t="shared" si="18"/>
        <v>1</v>
      </c>
    </row>
    <row r="281" spans="1:11">
      <c r="A281" s="1" t="s">
        <v>406</v>
      </c>
      <c r="B281" s="1" t="s">
        <v>408</v>
      </c>
      <c r="C281" t="s">
        <v>12</v>
      </c>
      <c r="E281" s="1" t="s">
        <v>16</v>
      </c>
      <c r="H281">
        <f t="shared" si="19"/>
        <v>0</v>
      </c>
      <c r="I281">
        <f t="shared" si="16"/>
        <v>1</v>
      </c>
      <c r="J281">
        <f t="shared" si="17"/>
        <v>0</v>
      </c>
      <c r="K281">
        <f t="shared" si="18"/>
        <v>0</v>
      </c>
    </row>
    <row r="282" spans="1:11" ht="86.45">
      <c r="A282" s="1" t="s">
        <v>409</v>
      </c>
      <c r="B282" s="1" t="s">
        <v>410</v>
      </c>
      <c r="C282" t="s">
        <v>12</v>
      </c>
      <c r="E282" s="1" t="s">
        <v>13</v>
      </c>
      <c r="H282">
        <f t="shared" si="19"/>
        <v>1</v>
      </c>
      <c r="I282">
        <f t="shared" si="16"/>
        <v>0</v>
      </c>
      <c r="J282">
        <f t="shared" si="17"/>
        <v>1</v>
      </c>
      <c r="K282">
        <f t="shared" si="18"/>
        <v>0</v>
      </c>
    </row>
    <row r="283" spans="1:11" ht="28.9">
      <c r="A283" s="1" t="s">
        <v>411</v>
      </c>
      <c r="B283" s="1" t="s">
        <v>412</v>
      </c>
      <c r="C283" t="s">
        <v>12</v>
      </c>
      <c r="E283" s="1" t="s">
        <v>13</v>
      </c>
      <c r="H283">
        <f t="shared" si="19"/>
        <v>1</v>
      </c>
      <c r="I283">
        <f t="shared" si="16"/>
        <v>0</v>
      </c>
      <c r="J283">
        <f t="shared" si="17"/>
        <v>1</v>
      </c>
      <c r="K283">
        <f t="shared" si="18"/>
        <v>0</v>
      </c>
    </row>
    <row r="284" spans="1:11" ht="28.9">
      <c r="A284" s="1" t="s">
        <v>411</v>
      </c>
      <c r="B284" s="1" t="s">
        <v>228</v>
      </c>
      <c r="C284" t="s">
        <v>20</v>
      </c>
      <c r="E284" s="1" t="s">
        <v>16</v>
      </c>
      <c r="H284">
        <f t="shared" si="19"/>
        <v>1</v>
      </c>
      <c r="I284">
        <f t="shared" si="16"/>
        <v>0</v>
      </c>
      <c r="J284">
        <f t="shared" si="17"/>
        <v>0</v>
      </c>
      <c r="K284">
        <f t="shared" si="18"/>
        <v>1</v>
      </c>
    </row>
    <row r="285" spans="1:11">
      <c r="A285" s="1" t="s">
        <v>413</v>
      </c>
      <c r="B285" s="1" t="s">
        <v>29</v>
      </c>
      <c r="C285" t="s">
        <v>12</v>
      </c>
      <c r="E285" s="1" t="s">
        <v>16</v>
      </c>
      <c r="H285">
        <f t="shared" si="19"/>
        <v>0</v>
      </c>
      <c r="I285">
        <f t="shared" si="16"/>
        <v>1</v>
      </c>
      <c r="J285">
        <f t="shared" si="17"/>
        <v>0</v>
      </c>
      <c r="K285">
        <f t="shared" si="18"/>
        <v>0</v>
      </c>
    </row>
    <row r="286" spans="1:11">
      <c r="A286" s="1" t="s">
        <v>413</v>
      </c>
      <c r="B286" s="1" t="s">
        <v>414</v>
      </c>
      <c r="C286" t="s">
        <v>12</v>
      </c>
      <c r="E286" s="1" t="s">
        <v>16</v>
      </c>
      <c r="H286">
        <f t="shared" si="19"/>
        <v>0</v>
      </c>
      <c r="I286">
        <f t="shared" si="16"/>
        <v>1</v>
      </c>
      <c r="J286">
        <f t="shared" si="17"/>
        <v>0</v>
      </c>
      <c r="K286">
        <f t="shared" si="18"/>
        <v>0</v>
      </c>
    </row>
    <row r="287" spans="1:11">
      <c r="A287" s="1" t="s">
        <v>415</v>
      </c>
      <c r="B287" s="1" t="s">
        <v>379</v>
      </c>
      <c r="C287" t="s">
        <v>12</v>
      </c>
      <c r="E287" s="1" t="s">
        <v>16</v>
      </c>
      <c r="H287">
        <f t="shared" si="19"/>
        <v>0</v>
      </c>
      <c r="I287">
        <f t="shared" si="16"/>
        <v>1</v>
      </c>
      <c r="J287">
        <f t="shared" si="17"/>
        <v>0</v>
      </c>
      <c r="K287">
        <f t="shared" si="18"/>
        <v>0</v>
      </c>
    </row>
    <row r="288" spans="1:11" ht="57.6">
      <c r="A288" s="1" t="s">
        <v>416</v>
      </c>
      <c r="B288" s="1" t="s">
        <v>417</v>
      </c>
      <c r="C288" t="s">
        <v>12</v>
      </c>
      <c r="E288" s="1" t="s">
        <v>21</v>
      </c>
      <c r="H288">
        <f t="shared" si="19"/>
        <v>1</v>
      </c>
      <c r="I288">
        <f t="shared" si="16"/>
        <v>0</v>
      </c>
      <c r="J288">
        <f t="shared" si="17"/>
        <v>1</v>
      </c>
      <c r="K288">
        <f t="shared" si="18"/>
        <v>0</v>
      </c>
    </row>
    <row r="289" spans="1:11" ht="57.6">
      <c r="A289" s="1" t="s">
        <v>416</v>
      </c>
      <c r="B289" s="1" t="s">
        <v>233</v>
      </c>
      <c r="C289" t="s">
        <v>20</v>
      </c>
      <c r="E289" s="1" t="s">
        <v>16</v>
      </c>
      <c r="H289">
        <f t="shared" si="19"/>
        <v>1</v>
      </c>
      <c r="I289">
        <f t="shared" si="16"/>
        <v>0</v>
      </c>
      <c r="J289">
        <f t="shared" si="17"/>
        <v>0</v>
      </c>
      <c r="K289">
        <f t="shared" si="18"/>
        <v>1</v>
      </c>
    </row>
    <row r="290" spans="1:11" ht="43.15">
      <c r="A290" s="1" t="s">
        <v>418</v>
      </c>
      <c r="B290" s="1" t="s">
        <v>419</v>
      </c>
      <c r="C290" t="s">
        <v>12</v>
      </c>
      <c r="E290" s="1" t="s">
        <v>16</v>
      </c>
      <c r="H290">
        <f t="shared" si="19"/>
        <v>0</v>
      </c>
      <c r="I290">
        <f t="shared" si="16"/>
        <v>1</v>
      </c>
      <c r="J290">
        <f t="shared" si="17"/>
        <v>0</v>
      </c>
      <c r="K290">
        <f t="shared" si="18"/>
        <v>0</v>
      </c>
    </row>
    <row r="291" spans="1:11" ht="28.9">
      <c r="A291" s="1" t="s">
        <v>420</v>
      </c>
      <c r="B291" s="1" t="s">
        <v>421</v>
      </c>
      <c r="C291" t="s">
        <v>12</v>
      </c>
      <c r="E291" s="1" t="s">
        <v>13</v>
      </c>
      <c r="H291">
        <f t="shared" si="19"/>
        <v>1</v>
      </c>
      <c r="I291">
        <f t="shared" si="16"/>
        <v>0</v>
      </c>
      <c r="J291">
        <f t="shared" si="17"/>
        <v>1</v>
      </c>
      <c r="K291">
        <f t="shared" si="18"/>
        <v>0</v>
      </c>
    </row>
    <row r="292" spans="1:11" ht="43.15">
      <c r="A292" s="1" t="s">
        <v>422</v>
      </c>
      <c r="B292" s="1" t="s">
        <v>423</v>
      </c>
      <c r="C292" t="s">
        <v>20</v>
      </c>
      <c r="E292" s="1" t="s">
        <v>21</v>
      </c>
      <c r="H292">
        <f t="shared" si="19"/>
        <v>0</v>
      </c>
      <c r="I292">
        <f t="shared" si="16"/>
        <v>0</v>
      </c>
      <c r="J292">
        <f t="shared" si="17"/>
        <v>0</v>
      </c>
      <c r="K292">
        <f t="shared" si="18"/>
        <v>0</v>
      </c>
    </row>
    <row r="293" spans="1:11" ht="43.15">
      <c r="A293" s="1" t="s">
        <v>422</v>
      </c>
      <c r="B293" s="1" t="s">
        <v>112</v>
      </c>
      <c r="C293" t="s">
        <v>20</v>
      </c>
      <c r="E293" s="1" t="s">
        <v>21</v>
      </c>
      <c r="H293">
        <f t="shared" si="19"/>
        <v>0</v>
      </c>
      <c r="I293">
        <f t="shared" si="16"/>
        <v>0</v>
      </c>
      <c r="J293">
        <f t="shared" si="17"/>
        <v>0</v>
      </c>
      <c r="K293">
        <f t="shared" si="18"/>
        <v>0</v>
      </c>
    </row>
    <row r="294" spans="1:11" ht="28.9">
      <c r="A294" s="1" t="s">
        <v>424</v>
      </c>
      <c r="B294" s="1" t="s">
        <v>425</v>
      </c>
      <c r="C294" t="s">
        <v>20</v>
      </c>
      <c r="E294" s="1" t="s">
        <v>13</v>
      </c>
      <c r="H294">
        <f t="shared" si="19"/>
        <v>1</v>
      </c>
      <c r="I294">
        <f t="shared" si="16"/>
        <v>0</v>
      </c>
      <c r="J294">
        <f t="shared" si="17"/>
        <v>0</v>
      </c>
      <c r="K294">
        <f t="shared" si="18"/>
        <v>0</v>
      </c>
    </row>
    <row r="295" spans="1:11" ht="28.9">
      <c r="A295" s="1" t="s">
        <v>424</v>
      </c>
      <c r="B295" s="1" t="s">
        <v>114</v>
      </c>
      <c r="C295" t="s">
        <v>20</v>
      </c>
      <c r="E295" s="1" t="s">
        <v>13</v>
      </c>
      <c r="H295">
        <f t="shared" si="19"/>
        <v>1</v>
      </c>
      <c r="I295">
        <f t="shared" si="16"/>
        <v>0</v>
      </c>
      <c r="J295">
        <f t="shared" si="17"/>
        <v>0</v>
      </c>
      <c r="K295">
        <f t="shared" si="18"/>
        <v>0</v>
      </c>
    </row>
    <row r="296" spans="1:11" ht="43.15">
      <c r="A296" s="1" t="s">
        <v>426</v>
      </c>
      <c r="B296" s="1" t="s">
        <v>427</v>
      </c>
      <c r="C296" t="s">
        <v>24</v>
      </c>
      <c r="E296" s="1" t="s">
        <v>16</v>
      </c>
      <c r="H296">
        <f t="shared" si="19"/>
        <v>1</v>
      </c>
      <c r="I296">
        <f t="shared" si="16"/>
        <v>0</v>
      </c>
      <c r="J296">
        <f t="shared" si="17"/>
        <v>0</v>
      </c>
      <c r="K296">
        <f t="shared" si="18"/>
        <v>1</v>
      </c>
    </row>
    <row r="297" spans="1:11" ht="43.15">
      <c r="A297" s="1" t="s">
        <v>428</v>
      </c>
      <c r="B297" s="1" t="s">
        <v>123</v>
      </c>
      <c r="C297" t="s">
        <v>24</v>
      </c>
      <c r="E297" s="1" t="s">
        <v>21</v>
      </c>
      <c r="H297">
        <f t="shared" si="19"/>
        <v>1</v>
      </c>
      <c r="I297">
        <f t="shared" si="16"/>
        <v>0</v>
      </c>
      <c r="J297">
        <f t="shared" si="17"/>
        <v>0</v>
      </c>
      <c r="K297">
        <f t="shared" si="18"/>
        <v>0</v>
      </c>
    </row>
    <row r="298" spans="1:11" ht="43.15">
      <c r="A298" s="1" t="s">
        <v>428</v>
      </c>
      <c r="B298" s="1" t="s">
        <v>429</v>
      </c>
      <c r="C298" t="s">
        <v>20</v>
      </c>
      <c r="E298" s="1" t="s">
        <v>13</v>
      </c>
      <c r="H298">
        <f t="shared" si="19"/>
        <v>1</v>
      </c>
      <c r="I298">
        <f t="shared" si="16"/>
        <v>0</v>
      </c>
      <c r="J298">
        <f t="shared" si="17"/>
        <v>0</v>
      </c>
      <c r="K298">
        <f t="shared" si="18"/>
        <v>0</v>
      </c>
    </row>
    <row r="299" spans="1:11" ht="28.9">
      <c r="A299" s="1" t="s">
        <v>430</v>
      </c>
      <c r="B299" s="1" t="s">
        <v>431</v>
      </c>
      <c r="C299" t="s">
        <v>24</v>
      </c>
      <c r="E299" s="1" t="s">
        <v>21</v>
      </c>
      <c r="H299">
        <f t="shared" si="19"/>
        <v>1</v>
      </c>
      <c r="I299">
        <f t="shared" si="16"/>
        <v>0</v>
      </c>
      <c r="J299">
        <f t="shared" si="17"/>
        <v>0</v>
      </c>
      <c r="K299">
        <f t="shared" si="18"/>
        <v>0</v>
      </c>
    </row>
    <row r="300" spans="1:11" ht="57.6">
      <c r="A300" s="1" t="s">
        <v>432</v>
      </c>
      <c r="B300" s="1" t="s">
        <v>433</v>
      </c>
      <c r="C300" t="s">
        <v>20</v>
      </c>
      <c r="E300" s="1" t="s">
        <v>13</v>
      </c>
      <c r="H300">
        <f t="shared" si="19"/>
        <v>1</v>
      </c>
      <c r="I300">
        <f t="shared" si="16"/>
        <v>0</v>
      </c>
      <c r="J300">
        <f t="shared" si="17"/>
        <v>0</v>
      </c>
      <c r="K300">
        <f t="shared" si="18"/>
        <v>0</v>
      </c>
    </row>
    <row r="301" spans="1:11" ht="28.9">
      <c r="A301" s="1" t="s">
        <v>434</v>
      </c>
      <c r="B301" s="1" t="s">
        <v>435</v>
      </c>
      <c r="C301" t="s">
        <v>12</v>
      </c>
      <c r="E301" s="1" t="s">
        <v>13</v>
      </c>
      <c r="H301">
        <f t="shared" si="19"/>
        <v>1</v>
      </c>
      <c r="I301">
        <f t="shared" si="16"/>
        <v>0</v>
      </c>
      <c r="J301">
        <f t="shared" si="17"/>
        <v>1</v>
      </c>
      <c r="K301">
        <f t="shared" si="18"/>
        <v>0</v>
      </c>
    </row>
    <row r="302" spans="1:11" ht="28.9">
      <c r="A302" s="1" t="s">
        <v>436</v>
      </c>
      <c r="B302" s="1" t="s">
        <v>304</v>
      </c>
      <c r="C302" t="s">
        <v>20</v>
      </c>
      <c r="E302" s="1" t="s">
        <v>13</v>
      </c>
      <c r="H302">
        <f t="shared" si="19"/>
        <v>1</v>
      </c>
      <c r="I302">
        <f t="shared" si="16"/>
        <v>0</v>
      </c>
      <c r="J302">
        <f t="shared" si="17"/>
        <v>0</v>
      </c>
      <c r="K302">
        <f t="shared" si="18"/>
        <v>0</v>
      </c>
    </row>
    <row r="303" spans="1:11" ht="28.9">
      <c r="A303" s="1" t="s">
        <v>436</v>
      </c>
      <c r="B303" s="1" t="s">
        <v>437</v>
      </c>
      <c r="C303" t="s">
        <v>12</v>
      </c>
      <c r="E303" s="1" t="s">
        <v>21</v>
      </c>
      <c r="H303">
        <f t="shared" si="19"/>
        <v>1</v>
      </c>
      <c r="I303">
        <f t="shared" si="16"/>
        <v>0</v>
      </c>
      <c r="J303">
        <f t="shared" si="17"/>
        <v>1</v>
      </c>
      <c r="K303">
        <f t="shared" si="18"/>
        <v>0</v>
      </c>
    </row>
    <row r="304" spans="1:11" ht="28.9">
      <c r="A304" s="1" t="s">
        <v>438</v>
      </c>
      <c r="B304" s="1" t="s">
        <v>439</v>
      </c>
      <c r="C304" t="s">
        <v>20</v>
      </c>
      <c r="E304" s="1" t="s">
        <v>13</v>
      </c>
      <c r="H304">
        <f t="shared" si="19"/>
        <v>1</v>
      </c>
      <c r="I304">
        <f t="shared" si="16"/>
        <v>0</v>
      </c>
      <c r="J304">
        <f t="shared" si="17"/>
        <v>0</v>
      </c>
      <c r="K304">
        <f t="shared" si="18"/>
        <v>0</v>
      </c>
    </row>
    <row r="305" spans="1:11" ht="28.9">
      <c r="A305" s="1" t="s">
        <v>438</v>
      </c>
      <c r="B305" s="1" t="s">
        <v>56</v>
      </c>
      <c r="C305" t="s">
        <v>12</v>
      </c>
      <c r="E305" s="1" t="s">
        <v>13</v>
      </c>
      <c r="H305">
        <f t="shared" si="19"/>
        <v>1</v>
      </c>
      <c r="I305">
        <f t="shared" si="16"/>
        <v>0</v>
      </c>
      <c r="J305">
        <f t="shared" si="17"/>
        <v>1</v>
      </c>
      <c r="K305">
        <f t="shared" si="18"/>
        <v>0</v>
      </c>
    </row>
    <row r="306" spans="1:11" ht="28.9">
      <c r="A306" s="1" t="s">
        <v>440</v>
      </c>
      <c r="B306" s="1" t="s">
        <v>211</v>
      </c>
      <c r="C306" t="s">
        <v>20</v>
      </c>
      <c r="E306" s="1" t="s">
        <v>16</v>
      </c>
      <c r="F306" t="s">
        <v>117</v>
      </c>
      <c r="G306" t="s">
        <v>34</v>
      </c>
      <c r="H306">
        <f t="shared" si="19"/>
        <v>1</v>
      </c>
      <c r="I306">
        <f t="shared" si="16"/>
        <v>0</v>
      </c>
      <c r="J306">
        <f t="shared" si="17"/>
        <v>0</v>
      </c>
      <c r="K306">
        <f t="shared" si="18"/>
        <v>1</v>
      </c>
    </row>
    <row r="307" spans="1:11" ht="28.9">
      <c r="A307" s="1" t="s">
        <v>441</v>
      </c>
      <c r="B307" s="1" t="s">
        <v>442</v>
      </c>
      <c r="C307" t="s">
        <v>24</v>
      </c>
      <c r="E307" s="1" t="s">
        <v>21</v>
      </c>
      <c r="H307">
        <f t="shared" si="19"/>
        <v>1</v>
      </c>
      <c r="I307">
        <f t="shared" si="16"/>
        <v>0</v>
      </c>
      <c r="J307">
        <f t="shared" si="17"/>
        <v>0</v>
      </c>
      <c r="K307">
        <f t="shared" si="18"/>
        <v>0</v>
      </c>
    </row>
    <row r="308" spans="1:11" ht="57.6">
      <c r="A308" s="1" t="s">
        <v>443</v>
      </c>
      <c r="B308" s="1" t="s">
        <v>444</v>
      </c>
      <c r="C308" t="s">
        <v>20</v>
      </c>
      <c r="E308" s="1" t="s">
        <v>21</v>
      </c>
      <c r="H308">
        <f t="shared" si="19"/>
        <v>0</v>
      </c>
      <c r="I308">
        <f t="shared" si="16"/>
        <v>0</v>
      </c>
      <c r="J308">
        <f t="shared" si="17"/>
        <v>0</v>
      </c>
      <c r="K308">
        <f t="shared" si="18"/>
        <v>0</v>
      </c>
    </row>
    <row r="309" spans="1:11" ht="28.9">
      <c r="A309" s="1" t="s">
        <v>445</v>
      </c>
      <c r="B309" s="1" t="s">
        <v>446</v>
      </c>
      <c r="C309" t="s">
        <v>20</v>
      </c>
      <c r="E309" s="1" t="s">
        <v>21</v>
      </c>
      <c r="H309">
        <f t="shared" si="19"/>
        <v>0</v>
      </c>
      <c r="I309">
        <f t="shared" si="16"/>
        <v>0</v>
      </c>
      <c r="J309">
        <f t="shared" si="17"/>
        <v>0</v>
      </c>
      <c r="K309">
        <f t="shared" si="18"/>
        <v>0</v>
      </c>
    </row>
    <row r="310" spans="1:11" ht="28.9">
      <c r="A310" s="1" t="s">
        <v>447</v>
      </c>
      <c r="B310" s="1" t="s">
        <v>448</v>
      </c>
      <c r="C310" t="s">
        <v>12</v>
      </c>
      <c r="E310" s="1" t="s">
        <v>13</v>
      </c>
      <c r="H310">
        <f t="shared" si="19"/>
        <v>1</v>
      </c>
      <c r="I310">
        <f t="shared" si="16"/>
        <v>0</v>
      </c>
      <c r="J310">
        <f t="shared" si="17"/>
        <v>1</v>
      </c>
      <c r="K310">
        <f t="shared" si="18"/>
        <v>0</v>
      </c>
    </row>
    <row r="311" spans="1:11" ht="28.9">
      <c r="A311" s="1" t="s">
        <v>447</v>
      </c>
      <c r="B311" s="1" t="s">
        <v>449</v>
      </c>
      <c r="C311" t="s">
        <v>12</v>
      </c>
      <c r="E311" s="1" t="s">
        <v>13</v>
      </c>
      <c r="H311">
        <f t="shared" si="19"/>
        <v>1</v>
      </c>
      <c r="I311">
        <f t="shared" si="16"/>
        <v>0</v>
      </c>
      <c r="J311">
        <f t="shared" si="17"/>
        <v>1</v>
      </c>
      <c r="K311">
        <f t="shared" si="18"/>
        <v>0</v>
      </c>
    </row>
    <row r="312" spans="1:11" ht="28.9">
      <c r="A312" s="1" t="s">
        <v>450</v>
      </c>
      <c r="B312" s="1" t="s">
        <v>451</v>
      </c>
      <c r="C312" t="s">
        <v>12</v>
      </c>
      <c r="E312" s="1" t="s">
        <v>13</v>
      </c>
      <c r="F312" t="s">
        <v>452</v>
      </c>
      <c r="G312" t="s">
        <v>42</v>
      </c>
      <c r="H312">
        <f t="shared" si="19"/>
        <v>1</v>
      </c>
      <c r="I312">
        <f t="shared" si="16"/>
        <v>0</v>
      </c>
      <c r="J312">
        <f t="shared" si="17"/>
        <v>1</v>
      </c>
      <c r="K312">
        <f t="shared" si="18"/>
        <v>0</v>
      </c>
    </row>
    <row r="313" spans="1:11" ht="28.9">
      <c r="A313" s="1" t="s">
        <v>450</v>
      </c>
      <c r="B313" s="1" t="s">
        <v>453</v>
      </c>
      <c r="C313" t="s">
        <v>12</v>
      </c>
      <c r="E313" s="1" t="s">
        <v>16</v>
      </c>
      <c r="H313">
        <f t="shared" si="19"/>
        <v>0</v>
      </c>
      <c r="I313">
        <f t="shared" si="16"/>
        <v>1</v>
      </c>
      <c r="J313">
        <f t="shared" si="17"/>
        <v>0</v>
      </c>
      <c r="K313">
        <f t="shared" si="18"/>
        <v>0</v>
      </c>
    </row>
    <row r="314" spans="1:11">
      <c r="A314" s="1" t="s">
        <v>454</v>
      </c>
      <c r="B314" s="1" t="s">
        <v>86</v>
      </c>
      <c r="C314" t="s">
        <v>12</v>
      </c>
      <c r="E314" s="1" t="s">
        <v>16</v>
      </c>
      <c r="H314">
        <f t="shared" si="19"/>
        <v>0</v>
      </c>
      <c r="I314">
        <f t="shared" si="16"/>
        <v>1</v>
      </c>
      <c r="J314">
        <f t="shared" si="17"/>
        <v>0</v>
      </c>
      <c r="K314">
        <f t="shared" si="18"/>
        <v>0</v>
      </c>
    </row>
    <row r="315" spans="1:11" ht="28.9">
      <c r="A315" s="1" t="s">
        <v>455</v>
      </c>
      <c r="B315" s="1" t="s">
        <v>456</v>
      </c>
      <c r="C315" t="s">
        <v>12</v>
      </c>
      <c r="E315" s="1" t="s">
        <v>21</v>
      </c>
      <c r="H315">
        <f t="shared" si="19"/>
        <v>1</v>
      </c>
      <c r="I315">
        <f t="shared" si="16"/>
        <v>0</v>
      </c>
      <c r="J315">
        <f t="shared" si="17"/>
        <v>1</v>
      </c>
      <c r="K315">
        <f t="shared" si="18"/>
        <v>0</v>
      </c>
    </row>
    <row r="316" spans="1:11" ht="57.6">
      <c r="A316" s="1" t="s">
        <v>457</v>
      </c>
      <c r="B316" s="1" t="s">
        <v>228</v>
      </c>
      <c r="C316" t="s">
        <v>20</v>
      </c>
      <c r="E316" s="1" t="s">
        <v>21</v>
      </c>
      <c r="H316">
        <f t="shared" si="19"/>
        <v>0</v>
      </c>
      <c r="I316">
        <f t="shared" si="16"/>
        <v>0</v>
      </c>
      <c r="J316">
        <f t="shared" si="17"/>
        <v>0</v>
      </c>
      <c r="K316">
        <f t="shared" si="18"/>
        <v>0</v>
      </c>
    </row>
    <row r="317" spans="1:11" ht="43.15">
      <c r="A317" s="1" t="s">
        <v>458</v>
      </c>
      <c r="B317" s="1" t="s">
        <v>459</v>
      </c>
      <c r="C317" t="s">
        <v>20</v>
      </c>
      <c r="E317" s="1" t="s">
        <v>13</v>
      </c>
      <c r="H317">
        <f t="shared" si="19"/>
        <v>1</v>
      </c>
      <c r="I317">
        <f t="shared" si="16"/>
        <v>0</v>
      </c>
      <c r="J317">
        <f t="shared" si="17"/>
        <v>0</v>
      </c>
      <c r="K317">
        <f t="shared" si="18"/>
        <v>0</v>
      </c>
    </row>
    <row r="318" spans="1:11" ht="72">
      <c r="A318" s="1" t="s">
        <v>460</v>
      </c>
      <c r="B318" s="1" t="s">
        <v>461</v>
      </c>
      <c r="C318" t="s">
        <v>20</v>
      </c>
      <c r="E318" s="1" t="s">
        <v>16</v>
      </c>
      <c r="F318" t="s">
        <v>462</v>
      </c>
      <c r="G318" t="s">
        <v>34</v>
      </c>
      <c r="H318">
        <f t="shared" si="19"/>
        <v>1</v>
      </c>
      <c r="I318">
        <f t="shared" si="16"/>
        <v>0</v>
      </c>
      <c r="J318">
        <f t="shared" si="17"/>
        <v>0</v>
      </c>
      <c r="K318">
        <f t="shared" si="18"/>
        <v>1</v>
      </c>
    </row>
    <row r="319" spans="1:11">
      <c r="A319" s="1" t="s">
        <v>463</v>
      </c>
      <c r="B319" s="1" t="s">
        <v>464</v>
      </c>
      <c r="C319" t="s">
        <v>12</v>
      </c>
      <c r="E319" s="1" t="s">
        <v>13</v>
      </c>
      <c r="F319" t="s">
        <v>465</v>
      </c>
      <c r="G319" t="s">
        <v>42</v>
      </c>
      <c r="H319">
        <f t="shared" si="19"/>
        <v>1</v>
      </c>
      <c r="I319">
        <f t="shared" si="16"/>
        <v>0</v>
      </c>
      <c r="J319">
        <f t="shared" si="17"/>
        <v>1</v>
      </c>
      <c r="K319">
        <f t="shared" si="18"/>
        <v>0</v>
      </c>
    </row>
    <row r="320" spans="1:11" ht="28.9">
      <c r="A320" s="1" t="s">
        <v>463</v>
      </c>
      <c r="B320" s="1" t="s">
        <v>466</v>
      </c>
      <c r="C320" t="s">
        <v>12</v>
      </c>
      <c r="E320" s="1" t="s">
        <v>16</v>
      </c>
      <c r="H320">
        <f t="shared" si="19"/>
        <v>0</v>
      </c>
      <c r="I320">
        <f t="shared" si="16"/>
        <v>1</v>
      </c>
      <c r="J320">
        <f t="shared" si="17"/>
        <v>0</v>
      </c>
      <c r="K320">
        <f t="shared" si="18"/>
        <v>0</v>
      </c>
    </row>
    <row r="321" spans="1:11" ht="43.15">
      <c r="A321" s="1" t="s">
        <v>467</v>
      </c>
      <c r="B321" s="1" t="s">
        <v>304</v>
      </c>
      <c r="C321" t="s">
        <v>12</v>
      </c>
      <c r="E321" s="1" t="s">
        <v>16</v>
      </c>
      <c r="H321">
        <f t="shared" si="19"/>
        <v>0</v>
      </c>
      <c r="I321">
        <f t="shared" si="16"/>
        <v>1</v>
      </c>
      <c r="J321">
        <f t="shared" si="17"/>
        <v>0</v>
      </c>
      <c r="K321">
        <f t="shared" si="18"/>
        <v>0</v>
      </c>
    </row>
    <row r="322" spans="1:11" ht="43.15">
      <c r="A322" s="1" t="s">
        <v>467</v>
      </c>
      <c r="B322" s="1" t="s">
        <v>468</v>
      </c>
      <c r="C322" t="s">
        <v>12</v>
      </c>
      <c r="E322" s="1" t="s">
        <v>13</v>
      </c>
      <c r="H322">
        <f t="shared" si="19"/>
        <v>1</v>
      </c>
      <c r="I322">
        <f t="shared" si="16"/>
        <v>0</v>
      </c>
      <c r="J322">
        <f t="shared" si="17"/>
        <v>1</v>
      </c>
      <c r="K322">
        <f t="shared" si="18"/>
        <v>0</v>
      </c>
    </row>
    <row r="323" spans="1:11" ht="28.9">
      <c r="A323" s="1" t="s">
        <v>469</v>
      </c>
      <c r="B323" s="1" t="s">
        <v>470</v>
      </c>
      <c r="C323" t="s">
        <v>20</v>
      </c>
      <c r="E323" s="1" t="s">
        <v>16</v>
      </c>
      <c r="H323">
        <f t="shared" si="19"/>
        <v>1</v>
      </c>
      <c r="I323">
        <f t="shared" ref="I323:I326" si="20">IF(AND(LOWER(C323)="positive", LOWER(E323)="positive"), 1, 0)</f>
        <v>0</v>
      </c>
      <c r="J323">
        <f t="shared" ref="J323:J326" si="21">IF(AND(LOWER(C323)="positive", LOWER(E323)&lt;&gt;"positive"), 1, 0)</f>
        <v>0</v>
      </c>
      <c r="K323">
        <f t="shared" ref="K323:K326" si="22">IF(AND(LOWER(C323)&lt;&gt;"positive", LOWER(E323)="positive"), 1, 0)</f>
        <v>1</v>
      </c>
    </row>
    <row r="324" spans="1:11" ht="28.9">
      <c r="A324" s="1" t="s">
        <v>471</v>
      </c>
      <c r="B324" s="1" t="s">
        <v>405</v>
      </c>
      <c r="C324" t="s">
        <v>12</v>
      </c>
      <c r="E324" s="1" t="s">
        <v>16</v>
      </c>
      <c r="F324" t="s">
        <v>328</v>
      </c>
      <c r="G324" t="s">
        <v>42</v>
      </c>
      <c r="H324">
        <f t="shared" si="19"/>
        <v>0</v>
      </c>
      <c r="I324">
        <f t="shared" si="20"/>
        <v>1</v>
      </c>
      <c r="J324">
        <f t="shared" si="21"/>
        <v>0</v>
      </c>
      <c r="K324">
        <f t="shared" si="22"/>
        <v>0</v>
      </c>
    </row>
    <row r="325" spans="1:11" ht="28.9">
      <c r="A325" s="1" t="s">
        <v>471</v>
      </c>
      <c r="B325" s="1" t="s">
        <v>472</v>
      </c>
      <c r="C325" t="s">
        <v>12</v>
      </c>
      <c r="E325" s="1" t="s">
        <v>16</v>
      </c>
      <c r="H325">
        <f t="shared" si="19"/>
        <v>0</v>
      </c>
      <c r="I325">
        <f t="shared" si="20"/>
        <v>1</v>
      </c>
      <c r="J325">
        <f t="shared" si="21"/>
        <v>0</v>
      </c>
      <c r="K325">
        <f t="shared" si="22"/>
        <v>0</v>
      </c>
    </row>
    <row r="326" spans="1:11" ht="28.9">
      <c r="A326" s="1" t="s">
        <v>471</v>
      </c>
      <c r="B326" s="1" t="s">
        <v>473</v>
      </c>
      <c r="C326" t="s">
        <v>12</v>
      </c>
      <c r="E326" s="1" t="s">
        <v>16</v>
      </c>
      <c r="H326">
        <f t="shared" ref="H326" si="23">IF(LOWER(C326)=LOWER(E326), 0, 1)</f>
        <v>0</v>
      </c>
      <c r="I326">
        <f t="shared" si="20"/>
        <v>1</v>
      </c>
      <c r="J326">
        <f t="shared" si="21"/>
        <v>0</v>
      </c>
      <c r="K326">
        <f t="shared" si="22"/>
        <v>0</v>
      </c>
    </row>
    <row r="327" spans="1:11">
      <c r="I327">
        <f xml:space="preserve"> SUM(I2:I326)</f>
        <v>87</v>
      </c>
      <c r="J327">
        <f t="shared" ref="J327:K327" si="24" xml:space="preserve"> SUM(J2:J326)</f>
        <v>65</v>
      </c>
      <c r="K327">
        <f t="shared" si="24"/>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Shubham Agarwal</dc:creator>
  <cp:keywords/>
  <dc:description/>
  <cp:lastModifiedBy>Shubham Agarwal</cp:lastModifiedBy>
  <cp:revision/>
  <dcterms:created xsi:type="dcterms:W3CDTF">2025-12-23T14:44:35Z</dcterms:created>
  <dcterms:modified xsi:type="dcterms:W3CDTF">2025-12-27T09:46:04Z</dcterms:modified>
  <cp:category/>
  <cp:contentStatus/>
</cp:coreProperties>
</file>